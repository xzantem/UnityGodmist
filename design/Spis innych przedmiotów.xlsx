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atryczku\Documents\Godmist\design\"/>
    </mc:Choice>
  </mc:AlternateContent>
  <xr:revisionPtr revIDLastSave="0" documentId="8_{354AA341-0986-44F4-8905-16B28064E9DA}" xr6:coauthVersionLast="47" xr6:coauthVersionMax="47" xr10:uidLastSave="{00000000-0000-0000-0000-000000000000}"/>
  <bookViews>
    <workbookView xWindow="-120" yWindow="-120" windowWidth="38640" windowHeight="21840" xr2:uid="{00000000-000D-0000-FFFF-FFFF00000000}"/>
  </bookViews>
  <sheets>
    <sheet name="Polski v2" sheetId="1" r:id="rId1"/>
    <sheet name="Torby z Łupami" sheetId="2" r:id="rId2"/>
    <sheet name="Mikstury i Bomby"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0" i="1" l="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G530" i="1"/>
  <c r="B530" i="1"/>
  <c r="B529" i="1"/>
  <c r="B528" i="1"/>
  <c r="G527" i="1"/>
  <c r="B527" i="1"/>
  <c r="B526" i="1"/>
  <c r="B525" i="1"/>
  <c r="G524" i="1"/>
  <c r="B524" i="1"/>
  <c r="B523" i="1"/>
  <c r="B522" i="1"/>
  <c r="G521" i="1"/>
  <c r="B521" i="1"/>
  <c r="B520" i="1"/>
  <c r="B519" i="1"/>
  <c r="G518" i="1"/>
  <c r="B518" i="1"/>
  <c r="B517" i="1"/>
  <c r="B516" i="1"/>
  <c r="G515" i="1"/>
  <c r="B515" i="1"/>
  <c r="B514" i="1"/>
  <c r="B513" i="1"/>
  <c r="G512" i="1"/>
  <c r="B512" i="1"/>
  <c r="B511" i="1"/>
  <c r="B510" i="1"/>
  <c r="G509" i="1"/>
  <c r="B509" i="1"/>
  <c r="B508" i="1"/>
  <c r="B507" i="1"/>
  <c r="G506" i="1"/>
  <c r="B506" i="1"/>
  <c r="B505" i="1"/>
  <c r="B504" i="1"/>
  <c r="G503" i="1"/>
  <c r="B503" i="1"/>
  <c r="B502" i="1"/>
  <c r="B501" i="1"/>
  <c r="B500" i="1"/>
  <c r="B499" i="1"/>
  <c r="B498" i="1"/>
  <c r="B497" i="1"/>
  <c r="B496" i="1"/>
  <c r="B495" i="1"/>
  <c r="B494" i="1"/>
  <c r="B493" i="1"/>
  <c r="G492" i="1"/>
  <c r="B492" i="1"/>
  <c r="G491" i="1"/>
  <c r="B491" i="1"/>
  <c r="G490" i="1"/>
  <c r="B490" i="1"/>
  <c r="B489" i="1"/>
  <c r="B488" i="1"/>
  <c r="B487" i="1"/>
  <c r="B486" i="1"/>
  <c r="B485" i="1"/>
  <c r="G484"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G408" i="1"/>
  <c r="B408" i="1"/>
  <c r="G407" i="1"/>
  <c r="B407" i="1"/>
  <c r="G406" i="1"/>
  <c r="B406" i="1"/>
  <c r="G405" i="1"/>
  <c r="B405" i="1"/>
  <c r="G404" i="1"/>
  <c r="B404" i="1"/>
  <c r="G403" i="1"/>
  <c r="B403" i="1"/>
  <c r="G402" i="1"/>
  <c r="B402" i="1"/>
  <c r="G401" i="1"/>
  <c r="G486" i="1" s="1"/>
  <c r="B401" i="1"/>
  <c r="G400" i="1"/>
  <c r="B400" i="1"/>
  <c r="G399" i="1"/>
  <c r="B399" i="1"/>
  <c r="G398" i="1"/>
  <c r="B398" i="1"/>
  <c r="G397" i="1"/>
  <c r="B397" i="1"/>
  <c r="G396" i="1"/>
  <c r="B396" i="1"/>
  <c r="G395" i="1"/>
  <c r="B395" i="1"/>
  <c r="G394" i="1"/>
  <c r="B394" i="1"/>
  <c r="G393" i="1"/>
  <c r="B393" i="1"/>
  <c r="G392" i="1"/>
  <c r="B392" i="1"/>
  <c r="G391" i="1"/>
  <c r="B391" i="1"/>
  <c r="G390" i="1"/>
  <c r="B390" i="1"/>
  <c r="G389"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G286" i="1"/>
  <c r="G306" i="1" s="1"/>
  <c r="B286" i="1"/>
  <c r="G285" i="1"/>
  <c r="G305" i="1" s="1"/>
  <c r="B285" i="1"/>
  <c r="G284" i="1"/>
  <c r="G304" i="1" s="1"/>
  <c r="B284" i="1"/>
  <c r="G283" i="1"/>
  <c r="G303" i="1" s="1"/>
  <c r="B283" i="1"/>
  <c r="G282" i="1"/>
  <c r="G302" i="1" s="1"/>
  <c r="B282" i="1"/>
  <c r="G281" i="1"/>
  <c r="G301" i="1" s="1"/>
  <c r="B281" i="1"/>
  <c r="G280" i="1"/>
  <c r="G300" i="1" s="1"/>
  <c r="B280" i="1"/>
  <c r="G279" i="1"/>
  <c r="G299" i="1" s="1"/>
  <c r="B279" i="1"/>
  <c r="G278" i="1"/>
  <c r="G298" i="1" s="1"/>
  <c r="B278" i="1"/>
  <c r="G277" i="1"/>
  <c r="G297" i="1" s="1"/>
  <c r="B277" i="1"/>
  <c r="G276" i="1"/>
  <c r="G296" i="1" s="1"/>
  <c r="B276" i="1"/>
  <c r="G275" i="1"/>
  <c r="G295" i="1" s="1"/>
  <c r="B275" i="1"/>
  <c r="G274" i="1"/>
  <c r="G294" i="1" s="1"/>
  <c r="B274" i="1"/>
  <c r="G273" i="1"/>
  <c r="G293" i="1" s="1"/>
  <c r="B273" i="1"/>
  <c r="G272" i="1"/>
  <c r="G292" i="1" s="1"/>
  <c r="B272" i="1"/>
  <c r="G271" i="1"/>
  <c r="G291" i="1" s="1"/>
  <c r="B271" i="1"/>
  <c r="G270" i="1"/>
  <c r="G290" i="1" s="1"/>
  <c r="B270" i="1"/>
  <c r="G269" i="1"/>
  <c r="G289" i="1" s="1"/>
  <c r="B269" i="1"/>
  <c r="G268" i="1"/>
  <c r="G288" i="1" s="1"/>
  <c r="B268" i="1"/>
  <c r="G267" i="1"/>
  <c r="G287" i="1" s="1"/>
  <c r="B267" i="1"/>
  <c r="B266" i="1"/>
  <c r="B265" i="1"/>
  <c r="B264" i="1"/>
  <c r="B263" i="1"/>
  <c r="B262" i="1"/>
  <c r="B261" i="1"/>
  <c r="B260" i="1"/>
  <c r="B259" i="1"/>
  <c r="B258" i="1"/>
  <c r="B257" i="1"/>
  <c r="B256" i="1"/>
  <c r="B255" i="1"/>
  <c r="B254" i="1"/>
  <c r="B253" i="1"/>
  <c r="B252" i="1"/>
  <c r="B251" i="1"/>
  <c r="B250" i="1"/>
  <c r="B249" i="1"/>
  <c r="B248" i="1"/>
  <c r="B247" i="1"/>
  <c r="G246" i="1"/>
  <c r="B246" i="1"/>
  <c r="G245" i="1"/>
  <c r="B245" i="1"/>
  <c r="G244" i="1"/>
  <c r="B244" i="1"/>
  <c r="G243" i="1"/>
  <c r="B243" i="1"/>
  <c r="G242" i="1"/>
  <c r="B242" i="1"/>
  <c r="B241" i="1"/>
  <c r="B240" i="1"/>
  <c r="B239" i="1"/>
  <c r="B238" i="1"/>
  <c r="B237" i="1"/>
  <c r="B236" i="1"/>
  <c r="B235" i="1"/>
  <c r="B234" i="1"/>
  <c r="B233" i="1"/>
  <c r="B232" i="1"/>
  <c r="B231" i="1"/>
  <c r="B230" i="1"/>
  <c r="B229" i="1"/>
  <c r="B228" i="1"/>
  <c r="B227" i="1"/>
  <c r="B226" i="1"/>
  <c r="B225" i="1"/>
  <c r="B224" i="1"/>
  <c r="B223" i="1"/>
  <c r="B222" i="1"/>
  <c r="G221" i="1"/>
  <c r="G241" i="1" s="1"/>
  <c r="B221" i="1"/>
  <c r="G220" i="1"/>
  <c r="G240" i="1" s="1"/>
  <c r="B220" i="1"/>
  <c r="G219" i="1"/>
  <c r="G239" i="1" s="1"/>
  <c r="B219" i="1"/>
  <c r="G218" i="1"/>
  <c r="G238" i="1" s="1"/>
  <c r="B218" i="1"/>
  <c r="G217" i="1"/>
  <c r="G237" i="1" s="1"/>
  <c r="B217" i="1"/>
  <c r="G216" i="1"/>
  <c r="G236" i="1" s="1"/>
  <c r="B216" i="1"/>
  <c r="G215" i="1"/>
  <c r="G235" i="1" s="1"/>
  <c r="B215" i="1"/>
  <c r="G214" i="1"/>
  <c r="G234" i="1" s="1"/>
  <c r="B214" i="1"/>
  <c r="G213" i="1"/>
  <c r="G233" i="1" s="1"/>
  <c r="B213" i="1"/>
  <c r="G212" i="1"/>
  <c r="G232" i="1" s="1"/>
  <c r="B212" i="1"/>
  <c r="G211" i="1"/>
  <c r="G231" i="1" s="1"/>
  <c r="B211" i="1"/>
  <c r="G210" i="1"/>
  <c r="G230" i="1" s="1"/>
  <c r="B210" i="1"/>
  <c r="G209" i="1"/>
  <c r="G229" i="1" s="1"/>
  <c r="B209" i="1"/>
  <c r="G208" i="1"/>
  <c r="G228" i="1" s="1"/>
  <c r="B208" i="1"/>
  <c r="G207" i="1"/>
  <c r="G227" i="1" s="1"/>
  <c r="B207" i="1"/>
  <c r="G206" i="1"/>
  <c r="G226" i="1" s="1"/>
  <c r="B206" i="1"/>
  <c r="G205" i="1"/>
  <c r="G225" i="1" s="1"/>
  <c r="B205" i="1"/>
  <c r="G204" i="1"/>
  <c r="G224" i="1" s="1"/>
  <c r="B204" i="1"/>
  <c r="G203" i="1"/>
  <c r="G223" i="1" s="1"/>
  <c r="B203" i="1"/>
  <c r="G202" i="1"/>
  <c r="G222" i="1" s="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G172" i="1"/>
  <c r="B172" i="1"/>
  <c r="G171" i="1"/>
  <c r="B171" i="1"/>
  <c r="G170" i="1"/>
  <c r="B170" i="1"/>
  <c r="G169" i="1"/>
  <c r="B169" i="1"/>
  <c r="G168" i="1"/>
  <c r="B168" i="1"/>
  <c r="G167" i="1"/>
  <c r="B167" i="1"/>
  <c r="G166" i="1"/>
  <c r="B166" i="1"/>
  <c r="G165" i="1"/>
  <c r="B165" i="1"/>
  <c r="G164" i="1"/>
  <c r="B164" i="1"/>
  <c r="G163" i="1"/>
  <c r="B163" i="1"/>
  <c r="G162" i="1"/>
  <c r="B162" i="1"/>
  <c r="G161" i="1"/>
  <c r="G181" i="1" s="1"/>
  <c r="B161" i="1"/>
  <c r="G160" i="1"/>
  <c r="G180" i="1" s="1"/>
  <c r="B160" i="1"/>
  <c r="G159" i="1"/>
  <c r="G179" i="1" s="1"/>
  <c r="B159" i="1"/>
  <c r="G158" i="1"/>
  <c r="G178" i="1" s="1"/>
  <c r="B158" i="1"/>
  <c r="G157" i="1"/>
  <c r="G177" i="1" s="1"/>
  <c r="B157" i="1"/>
  <c r="G156" i="1"/>
  <c r="G176" i="1" s="1"/>
  <c r="B156" i="1"/>
  <c r="G155" i="1"/>
  <c r="G175" i="1" s="1"/>
  <c r="B155" i="1"/>
  <c r="G154" i="1"/>
  <c r="G174" i="1" s="1"/>
  <c r="B154" i="1"/>
  <c r="G153" i="1"/>
  <c r="G173" i="1" s="1"/>
  <c r="B153" i="1"/>
  <c r="G152" i="1"/>
  <c r="B152" i="1"/>
  <c r="G151" i="1"/>
  <c r="B151" i="1"/>
  <c r="G150" i="1"/>
  <c r="B150" i="1"/>
  <c r="G149" i="1"/>
  <c r="B149" i="1"/>
  <c r="G148" i="1"/>
  <c r="B148" i="1"/>
  <c r="G147" i="1"/>
  <c r="B147" i="1"/>
  <c r="G146" i="1"/>
  <c r="B146" i="1"/>
  <c r="G145" i="1"/>
  <c r="B145" i="1"/>
  <c r="G144" i="1"/>
  <c r="B144" i="1"/>
  <c r="G143" i="1"/>
  <c r="B143" i="1"/>
  <c r="G142"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G61" i="1"/>
  <c r="B61" i="1"/>
  <c r="G60" i="1"/>
  <c r="B60" i="1"/>
  <c r="G59" i="1"/>
  <c r="B59" i="1"/>
  <c r="G58" i="1"/>
  <c r="B58" i="1"/>
  <c r="G57" i="1"/>
  <c r="B57" i="1"/>
  <c r="G56" i="1"/>
  <c r="B56" i="1"/>
  <c r="G55" i="1"/>
  <c r="B55" i="1"/>
  <c r="G54" i="1"/>
  <c r="B54" i="1"/>
  <c r="G53" i="1"/>
  <c r="B53" i="1"/>
  <c r="G52" i="1"/>
  <c r="B52" i="1"/>
  <c r="G51" i="1"/>
  <c r="B51" i="1"/>
  <c r="G50" i="1"/>
  <c r="B50" i="1"/>
  <c r="G49" i="1"/>
  <c r="B49" i="1"/>
  <c r="G48" i="1"/>
  <c r="B48" i="1"/>
  <c r="G47" i="1"/>
  <c r="B47" i="1"/>
  <c r="G46" i="1"/>
  <c r="B46" i="1"/>
  <c r="G45" i="1"/>
  <c r="B45" i="1"/>
  <c r="G44" i="1"/>
  <c r="B44" i="1"/>
  <c r="G43" i="1"/>
  <c r="B43" i="1"/>
  <c r="G42" i="1"/>
  <c r="B42" i="1"/>
  <c r="G41" i="1"/>
  <c r="B41" i="1"/>
  <c r="G40" i="1"/>
  <c r="B40" i="1"/>
  <c r="G39" i="1"/>
  <c r="B39" i="1"/>
  <c r="G38" i="1"/>
  <c r="B38" i="1"/>
  <c r="G37" i="1"/>
  <c r="B37" i="1"/>
  <c r="G36" i="1"/>
  <c r="B36" i="1"/>
  <c r="G35" i="1"/>
  <c r="B35" i="1"/>
  <c r="G34" i="1"/>
  <c r="B34" i="1"/>
  <c r="G33" i="1"/>
  <c r="B33" i="1"/>
  <c r="G32" i="1"/>
  <c r="B32" i="1"/>
  <c r="G31" i="1"/>
  <c r="B31" i="1"/>
  <c r="G30" i="1"/>
  <c r="B30" i="1"/>
  <c r="G29" i="1"/>
  <c r="B29" i="1"/>
  <c r="G28" i="1"/>
  <c r="B28" i="1"/>
  <c r="G27" i="1"/>
  <c r="B27" i="1"/>
  <c r="G26" i="1"/>
  <c r="B26" i="1"/>
  <c r="G25" i="1"/>
  <c r="B25" i="1"/>
  <c r="G24" i="1"/>
  <c r="B24" i="1"/>
  <c r="G23" i="1"/>
  <c r="B23" i="1"/>
  <c r="G22" i="1"/>
  <c r="B22" i="1"/>
  <c r="B21" i="1"/>
  <c r="B20" i="1"/>
  <c r="B19" i="1"/>
  <c r="B18" i="1"/>
  <c r="B17" i="1"/>
  <c r="B16" i="1"/>
  <c r="B15" i="1"/>
  <c r="B14" i="1"/>
  <c r="B13" i="1"/>
  <c r="B12" i="1"/>
  <c r="B11" i="1"/>
  <c r="B10" i="1"/>
  <c r="B9" i="1"/>
  <c r="B8" i="1"/>
  <c r="B7" i="1"/>
  <c r="B6" i="1"/>
  <c r="B5" i="1"/>
  <c r="B4" i="1"/>
  <c r="B3" i="1"/>
  <c r="B2" i="1"/>
  <c r="G483" i="1" l="1"/>
  <c r="G485" i="1"/>
  <c r="G101" i="1"/>
  <c r="G81" i="1"/>
  <c r="G121" i="1"/>
  <c r="G120" i="1"/>
  <c r="G80" i="1"/>
  <c r="G100" i="1"/>
  <c r="G79" i="1"/>
  <c r="G119" i="1"/>
  <c r="G99" i="1"/>
  <c r="G98" i="1"/>
  <c r="G78" i="1"/>
  <c r="G118" i="1"/>
  <c r="G117" i="1"/>
  <c r="G77" i="1"/>
  <c r="G97" i="1"/>
  <c r="G116" i="1"/>
  <c r="G76" i="1"/>
  <c r="G96" i="1"/>
  <c r="G95" i="1"/>
  <c r="G75" i="1"/>
  <c r="G115" i="1"/>
  <c r="G114" i="1"/>
  <c r="G94" i="1"/>
  <c r="G74" i="1"/>
  <c r="G113" i="1"/>
  <c r="G73" i="1"/>
  <c r="G93" i="1"/>
  <c r="G112" i="1"/>
  <c r="G72" i="1"/>
  <c r="G92" i="1"/>
  <c r="G71" i="1"/>
  <c r="G111" i="1"/>
  <c r="G91" i="1"/>
  <c r="G90" i="1"/>
  <c r="G110" i="1"/>
  <c r="G70" i="1"/>
  <c r="G69" i="1"/>
  <c r="G109" i="1"/>
  <c r="G89" i="1"/>
  <c r="G88" i="1"/>
  <c r="G68" i="1"/>
  <c r="G108" i="1"/>
  <c r="G67" i="1"/>
  <c r="G87" i="1"/>
  <c r="G107" i="1"/>
  <c r="G86" i="1"/>
  <c r="G106" i="1"/>
  <c r="G66" i="1"/>
  <c r="G85" i="1"/>
  <c r="G65" i="1"/>
  <c r="G105" i="1"/>
  <c r="G84" i="1"/>
  <c r="G64" i="1"/>
  <c r="G104" i="1"/>
  <c r="G83" i="1"/>
  <c r="G63" i="1"/>
  <c r="G103" i="1"/>
  <c r="G82" i="1"/>
  <c r="G102" i="1"/>
  <c r="G62" i="1"/>
  <c r="G522" i="1" l="1"/>
  <c r="G523" i="1"/>
  <c r="G514" i="1"/>
  <c r="G511" i="1"/>
  <c r="G505" i="1"/>
  <c r="G532" i="1"/>
  <c r="G529" i="1"/>
  <c r="G526" i="1"/>
  <c r="G520" i="1"/>
  <c r="G517" i="1"/>
  <c r="G508" i="1"/>
  <c r="G531" i="1"/>
  <c r="G528" i="1"/>
  <c r="G525" i="1"/>
  <c r="G519" i="1"/>
  <c r="G516" i="1"/>
  <c r="G507" i="1"/>
  <c r="G513" i="1"/>
  <c r="G510" i="1"/>
  <c r="G5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rPr>
          <t xml:space="preserve">Przedmioty sprzedawane u dobrego handlarza (np. Mikstury u Alchemika) kosztują 1/2 tego, co jest napisane na cenie.
Przedmioty sprzedawane u złego handlarza (np. Mikstury u Rzemieślnika) kosztują 1/4 tego, co jest napisane na cenie.
Przedmioty kupowane kosztują dokładnie tyle, ile jest napisane na cenie.
</t>
        </r>
      </text>
    </comment>
    <comment ref="A369" authorId="0" shapeId="0" xr:uid="{00000000-0006-0000-0000-000007000000}">
      <text>
        <r>
          <rPr>
            <sz val="10"/>
            <color rgb="FF000000"/>
            <rFont val="Arial"/>
          </rPr>
          <t>smoczego kwiatu</t>
        </r>
      </text>
    </comment>
    <comment ref="A378" authorId="0" shapeId="0" xr:uid="{00000000-0006-0000-0000-00000E000000}">
      <text>
        <r>
          <rPr>
            <sz val="10"/>
            <color rgb="FF000000"/>
            <rFont val="Arial"/>
          </rPr>
          <t>grzyb</t>
        </r>
      </text>
    </comment>
    <comment ref="A381" authorId="0" shapeId="0" xr:uid="{00000000-0006-0000-0000-000002000000}">
      <text>
        <r>
          <rPr>
            <sz val="10"/>
            <color rgb="FF000000"/>
            <rFont val="Arial"/>
          </rPr>
          <t>błękitny niebieski okrągły owoc</t>
        </r>
      </text>
    </comment>
    <comment ref="A389" authorId="0" shapeId="0" xr:uid="{00000000-0006-0000-0000-000018000000}">
      <text>
        <r>
          <rPr>
            <sz val="10"/>
            <color rgb="FF000000"/>
            <rFont val="Arial"/>
          </rPr>
          <t>(proszek)</t>
        </r>
      </text>
    </comment>
    <comment ref="A390" authorId="0" shapeId="0" xr:uid="{00000000-0006-0000-0000-00000D000000}">
      <text>
        <r>
          <rPr>
            <sz val="10"/>
            <color rgb="FF000000"/>
            <rFont val="Arial"/>
          </rPr>
          <t>(kamień)</t>
        </r>
      </text>
    </comment>
    <comment ref="A391" authorId="0" shapeId="0" xr:uid="{00000000-0006-0000-0000-000017000000}">
      <text>
        <r>
          <rPr>
            <sz val="10"/>
            <color rgb="FF000000"/>
            <rFont val="Arial"/>
          </rPr>
          <t>(lepki)</t>
        </r>
      </text>
    </comment>
    <comment ref="A392" authorId="0" shapeId="0" xr:uid="{00000000-0006-0000-0000-00000C000000}">
      <text>
        <r>
          <rPr>
            <sz val="10"/>
            <color rgb="FF000000"/>
            <rFont val="Arial"/>
          </rPr>
          <t>(luźny?)</t>
        </r>
      </text>
    </comment>
    <comment ref="A393" authorId="0" shapeId="0" xr:uid="{00000000-0006-0000-0000-000016000000}">
      <text>
        <r>
          <rPr>
            <sz val="10"/>
            <color rgb="FF000000"/>
            <rFont val="Arial"/>
          </rPr>
          <t>(żółty)</t>
        </r>
      </text>
    </comment>
    <comment ref="A394" authorId="0" shapeId="0" xr:uid="{00000000-0006-0000-0000-00000B000000}">
      <text>
        <r>
          <rPr>
            <sz val="10"/>
            <color rgb="FF000000"/>
            <rFont val="Arial"/>
          </rPr>
          <t>(zielony)</t>
        </r>
      </text>
    </comment>
    <comment ref="A395" authorId="0" shapeId="0" xr:uid="{00000000-0006-0000-0000-000015000000}">
      <text>
        <r>
          <rPr>
            <sz val="10"/>
            <color rgb="FF000000"/>
            <rFont val="Arial"/>
          </rPr>
          <t>(różowy)</t>
        </r>
      </text>
    </comment>
    <comment ref="A396" authorId="0" shapeId="0" xr:uid="{00000000-0006-0000-0000-00000A000000}">
      <text>
        <r>
          <rPr>
            <sz val="10"/>
            <color rgb="FF000000"/>
            <rFont val="Arial"/>
          </rPr>
          <t>(pomarańczowy)</t>
        </r>
      </text>
    </comment>
    <comment ref="A397" authorId="0" shapeId="0" xr:uid="{00000000-0006-0000-0000-000014000000}">
      <text>
        <r>
          <rPr>
            <sz val="10"/>
            <color rgb="FF000000"/>
            <rFont val="Arial"/>
          </rPr>
          <t>(człowiek)</t>
        </r>
      </text>
    </comment>
    <comment ref="A398" authorId="0" shapeId="0" xr:uid="{00000000-0006-0000-0000-000009000000}">
      <text>
        <r>
          <rPr>
            <sz val="10"/>
            <color rgb="FF000000"/>
            <rFont val="Arial"/>
          </rPr>
          <t>(elf)</t>
        </r>
      </text>
    </comment>
    <comment ref="A399" authorId="0" shapeId="0" xr:uid="{00000000-0006-0000-0000-000013000000}">
      <text>
        <r>
          <rPr>
            <sz val="10"/>
            <color rgb="FF000000"/>
            <rFont val="Arial"/>
          </rPr>
          <t>(krasnolud)</t>
        </r>
      </text>
    </comment>
    <comment ref="A400" authorId="0" shapeId="0" xr:uid="{00000000-0006-0000-0000-000008000000}">
      <text>
        <r>
          <rPr>
            <sz val="10"/>
            <color rgb="FF000000"/>
            <rFont val="Arial"/>
          </rPr>
          <t>(gad)</t>
        </r>
      </text>
    </comment>
    <comment ref="A401" authorId="0" shapeId="0" xr:uid="{00000000-0006-0000-0000-000012000000}">
      <text>
        <r>
          <rPr>
            <sz val="10"/>
            <color rgb="FF000000"/>
            <rFont val="Arial"/>
          </rPr>
          <t>(świetlisty)</t>
        </r>
      </text>
    </comment>
    <comment ref="A402" authorId="0" shapeId="0" xr:uid="{00000000-0006-0000-0000-000006000000}">
      <text>
        <r>
          <rPr>
            <sz val="10"/>
            <color rgb="FF000000"/>
            <rFont val="Arial"/>
          </rPr>
          <t>(boski)</t>
        </r>
      </text>
    </comment>
    <comment ref="A403" authorId="0" shapeId="0" xr:uid="{00000000-0006-0000-0000-000011000000}">
      <text>
        <r>
          <rPr>
            <sz val="10"/>
            <color rgb="FF000000"/>
            <rFont val="Arial"/>
          </rPr>
          <t>(neutralny)</t>
        </r>
      </text>
    </comment>
    <comment ref="A404" authorId="0" shapeId="0" xr:uid="{00000000-0006-0000-0000-000005000000}">
      <text>
        <r>
          <rPr>
            <sz val="10"/>
            <color rgb="FF000000"/>
            <rFont val="Arial"/>
          </rPr>
          <t>(ciemny)</t>
        </r>
      </text>
    </comment>
    <comment ref="A405" authorId="0" shapeId="0" xr:uid="{00000000-0006-0000-0000-000010000000}">
      <text>
        <r>
          <rPr>
            <sz val="10"/>
            <color rgb="FF000000"/>
            <rFont val="Arial"/>
          </rPr>
          <t>(ogień)</t>
        </r>
      </text>
    </comment>
    <comment ref="A406" authorId="0" shapeId="0" xr:uid="{00000000-0006-0000-0000-000004000000}">
      <text>
        <r>
          <rPr>
            <sz val="10"/>
            <color rgb="FF000000"/>
            <rFont val="Arial"/>
          </rPr>
          <t>(powietrze)</t>
        </r>
      </text>
    </comment>
    <comment ref="A407" authorId="0" shapeId="0" xr:uid="{00000000-0006-0000-0000-00000F000000}">
      <text>
        <r>
          <rPr>
            <sz val="10"/>
            <color rgb="FF000000"/>
            <rFont val="Arial"/>
          </rPr>
          <t>(woda)</t>
        </r>
      </text>
    </comment>
    <comment ref="A408" authorId="0" shapeId="0" xr:uid="{00000000-0006-0000-0000-000003000000}">
      <text>
        <r>
          <rPr>
            <sz val="10"/>
            <color rgb="FF000000"/>
            <rFont val="Arial"/>
          </rPr>
          <t>(ziemia)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0100-000001000000}">
      <text>
        <r>
          <rPr>
            <sz val="10"/>
            <color rgb="FF000000"/>
            <rFont val="Arial"/>
          </rPr>
          <t>Ile toreb trzeba poświęcić by otrzymać wybraną nagrodę gwarantowaną (nie wybraną kategorię, lecz konkretną nagrodę)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200-000002000000}">
      <text>
        <r>
          <rPr>
            <sz val="10"/>
            <color rgb="FF000000"/>
            <rFont val="Arial"/>
          </rPr>
          <t>grzyb</t>
        </r>
      </text>
    </comment>
    <comment ref="F7" authorId="0" shapeId="0" xr:uid="{00000000-0006-0000-0200-000005000000}">
      <text>
        <r>
          <rPr>
            <sz val="10"/>
            <color rgb="FF000000"/>
            <rFont val="Arial"/>
          </rPr>
          <t>smoczego kwiatu</t>
        </r>
      </text>
    </comment>
    <comment ref="G7" authorId="0" shapeId="0" xr:uid="{00000000-0006-0000-0200-000001000000}">
      <text>
        <r>
          <rPr>
            <sz val="10"/>
            <color rgb="FF000000"/>
            <rFont val="Arial"/>
          </rPr>
          <t>błękitny niebieski okrągły owoc</t>
        </r>
      </text>
    </comment>
    <comment ref="B19" authorId="0" shapeId="0" xr:uid="{00000000-0006-0000-0200-000006000000}">
      <text>
        <r>
          <rPr>
            <sz val="10"/>
            <color rgb="FF000000"/>
            <rFont val="Arial"/>
          </rPr>
          <t>Tylko w miksturach regeneracyjnych</t>
        </r>
      </text>
    </comment>
    <comment ref="G24" authorId="0" shapeId="0" xr:uid="{00000000-0006-0000-0200-000007000000}">
      <text>
        <r>
          <rPr>
            <sz val="10"/>
            <color rgb="FF000000"/>
            <rFont val="Arial"/>
          </rPr>
          <t>grzyb</t>
        </r>
      </text>
    </comment>
    <comment ref="F27" authorId="0" shapeId="0" xr:uid="{00000000-0006-0000-0200-000003000000}">
      <text>
        <r>
          <rPr>
            <sz val="10"/>
            <color rgb="FF000000"/>
            <rFont val="Arial"/>
          </rPr>
          <t>smoczego kwiatu</t>
        </r>
      </text>
    </comment>
    <comment ref="G27" authorId="0" shapeId="0" xr:uid="{00000000-0006-0000-0200-000004000000}">
      <text>
        <r>
          <rPr>
            <sz val="10"/>
            <color rgb="FF000000"/>
            <rFont val="Arial"/>
          </rPr>
          <t>błękitny niebieski okrągły owoc</t>
        </r>
      </text>
    </comment>
  </commentList>
</comments>
</file>

<file path=xl/sharedStrings.xml><?xml version="1.0" encoding="utf-8"?>
<sst xmlns="http://schemas.openxmlformats.org/spreadsheetml/2006/main" count="4269" uniqueCount="1500">
  <si>
    <t>Nazwa przedmiotu</t>
  </si>
  <si>
    <t>ID</t>
  </si>
  <si>
    <t>Zastosowanie</t>
  </si>
  <si>
    <t>Sposób uzyskania</t>
  </si>
  <si>
    <t>Lv</t>
  </si>
  <si>
    <t>Typ przedmiotu</t>
  </si>
  <si>
    <t>Cena</t>
  </si>
  <si>
    <t>Unikalność</t>
  </si>
  <si>
    <t>Ruda żelaza</t>
  </si>
  <si>
    <t>Sztabki metalu, Wielkie sztabki metalu</t>
  </si>
  <si>
    <t>Kowale, Koścista torba zasobów, Pustynna torba zasobów</t>
  </si>
  <si>
    <t>Rzemiosło</t>
  </si>
  <si>
    <t>Pospolity</t>
  </si>
  <si>
    <t>Ruda niklu</t>
  </si>
  <si>
    <t>Kowale, Morska torba zasobów, Leśna torba zasobów</t>
  </si>
  <si>
    <t>Ruda miedzi</t>
  </si>
  <si>
    <t>Kowale, Górska torba zasobów, Bagienna torba zasobów</t>
  </si>
  <si>
    <t>Ruda cyny</t>
  </si>
  <si>
    <t>Kowale, Demoniczna torba zasobów, Świątynna torba zasobów</t>
  </si>
  <si>
    <t>Ruda annodytu</t>
  </si>
  <si>
    <t>Kowale, Demoniczna torba zasobów, Bagienna torba zasobów</t>
  </si>
  <si>
    <t>Rzadki</t>
  </si>
  <si>
    <t>Ruda srebra</t>
  </si>
  <si>
    <t>Kowale, Koścista torba zasobów, Leśna torba zasobów</t>
  </si>
  <si>
    <t>Ruda kobaltu</t>
  </si>
  <si>
    <t>Kowale, Morska torba zasobów, Pustynna torba zasobów</t>
  </si>
  <si>
    <t>Ruda złota</t>
  </si>
  <si>
    <t>Kowale, Świątynna torba zasobów, Górska torba zasobów</t>
  </si>
  <si>
    <t>Ruda nefolitu</t>
  </si>
  <si>
    <t>Kowale, Leśna torba zasobów, Górska torba zasobów</t>
  </si>
  <si>
    <t>Legendarny</t>
  </si>
  <si>
    <t>Ruda adamantium</t>
  </si>
  <si>
    <t>Ruda cifilmu</t>
  </si>
  <si>
    <t>Kowale, Morska torba zasobów, Świątynna torba zasobów</t>
  </si>
  <si>
    <t>Ruda orichalcum</t>
  </si>
  <si>
    <t>Węgiel</t>
  </si>
  <si>
    <t>Kowale, Koścista torba zasobów, Bagienna torba zasobów</t>
  </si>
  <si>
    <t>Niepospolity</t>
  </si>
  <si>
    <t>Chrom</t>
  </si>
  <si>
    <t>Kowale, Morska torba zasobów, Górska torba zasobów</t>
  </si>
  <si>
    <t>Odłamek meteorytu</t>
  </si>
  <si>
    <t>Kowale, Leśna torba zasobów, Pustynna torba zasobów</t>
  </si>
  <si>
    <t>Kawałek cynku</t>
  </si>
  <si>
    <t>Księżycowy pył</t>
  </si>
  <si>
    <t>Kowale, Koścista torba zasobów, Demoniczna torba zasobów</t>
  </si>
  <si>
    <t>Starożytny</t>
  </si>
  <si>
    <t>Sfaleryt</t>
  </si>
  <si>
    <t>Klejnot pustyni</t>
  </si>
  <si>
    <t>Kowale, Pustynna torba zasobów, Świątynna torba zasobów</t>
  </si>
  <si>
    <t>Rutyl</t>
  </si>
  <si>
    <t>Kowale, Leśna torba zasobów, Morska torba zasobów</t>
  </si>
  <si>
    <t>Sztabka żelaza</t>
  </si>
  <si>
    <t>Sproszkowane metale, Łańcuchy, Blachy, Wyposażenie, Igły do nici</t>
  </si>
  <si>
    <t>2x Ruda żelaza -&gt; 1x Sztabka żelaza</t>
  </si>
  <si>
    <t>Sztabka niklu</t>
  </si>
  <si>
    <t>2x Ruda niklu -&gt; 1x Sztabka niklu</t>
  </si>
  <si>
    <t>Sztabka miedzi</t>
  </si>
  <si>
    <t>2x Ruda miedzi -&gt; 1x Sztabka miedzi</t>
  </si>
  <si>
    <t>Sztabka cyny</t>
  </si>
  <si>
    <t>2x Ruda cyny -&gt; 1x Sztabka cyny</t>
  </si>
  <si>
    <t>Sztabka stali</t>
  </si>
  <si>
    <t>2x Ruda żelaza + 1x Węgiel -&gt; 1x Sztabka stali</t>
  </si>
  <si>
    <t>Sztabka inwaru</t>
  </si>
  <si>
    <t>1x Ruda żelaza + 1x Ruda niklu + 1x Chrom -&gt; 1x Sztabka inwaru</t>
  </si>
  <si>
    <t>Sztabka żelaza meteorytowego</t>
  </si>
  <si>
    <t>2x Ruda żelaza + 1x Odłamek meteorytu -&gt; 1x Sztabka żelaza meteorytowego</t>
  </si>
  <si>
    <t>Sztabka brązu</t>
  </si>
  <si>
    <t>2x Ruda miedzi + 1x Ruda cyny + 1x Kawałek cynku -&gt; 1x Sztabka brązu</t>
  </si>
  <si>
    <t>Sztabka annodytu</t>
  </si>
  <si>
    <t>2x Ruda annodytu -&gt; 1x Sztabka annodytu</t>
  </si>
  <si>
    <t>Sztabka srebra</t>
  </si>
  <si>
    <t>2x Ruda srebra -&gt; 1x Sztabka srebra</t>
  </si>
  <si>
    <t>Sztabka kobaltu</t>
  </si>
  <si>
    <t>2x Ruda kobaltu -&gt; 1x Sztabka kobaltu</t>
  </si>
  <si>
    <t>Sztabka złota</t>
  </si>
  <si>
    <t>2x Ruda złota -&gt; 1x Sztabka złota</t>
  </si>
  <si>
    <t>Sztabka kryferytu</t>
  </si>
  <si>
    <t>2x Ruda annodytu + 1x Księżycowy pył -&gt; 1x Sztabka kryferytu</t>
  </si>
  <si>
    <t>Sztabka mosiądzu</t>
  </si>
  <si>
    <t>2x Ruda miedzi + 1x Sfaleryt -&gt; 1x Sztabka mosiądzu</t>
  </si>
  <si>
    <t>Sztabka sułtańskiej stali</t>
  </si>
  <si>
    <t>1x Ruda kobaltu + 1x Ruda złota + 1x Klejnot pustyni -&gt; 1x Sztabka sułtańskiej stali</t>
  </si>
  <si>
    <t>Sztabka tytanu</t>
  </si>
  <si>
    <t>1x Ruda srebra + 2x Rutyl -&gt; 1x Sztabka tytanu</t>
  </si>
  <si>
    <t>Sztabka nefolitu</t>
  </si>
  <si>
    <t>3x Ruda nefolitu -&gt; 1x Sztabka nefolitu</t>
  </si>
  <si>
    <t>Sztabka adamantium</t>
  </si>
  <si>
    <t>3x Ruda adamantium -&gt; 1x Sztabka adamantium</t>
  </si>
  <si>
    <t>Sztabka cifilmu</t>
  </si>
  <si>
    <t>3x Ruda cifilmu -&gt; 1x Sztabka cifilmu</t>
  </si>
  <si>
    <t>Sztabka orichalcum</t>
  </si>
  <si>
    <t>3x Ruda orihalcum -&gt; 1x Sztabka orihalcum</t>
  </si>
  <si>
    <t>Wielka sztabka żelaza</t>
  </si>
  <si>
    <t>Wyposażenie</t>
  </si>
  <si>
    <t>6x Ruda żelaza -&gt; 1x Wielka sztabka żelaza</t>
  </si>
  <si>
    <t>Wielka sztabka niklu</t>
  </si>
  <si>
    <t>6x Ruda niklu -&gt; 1x Wielka sztabka niklu</t>
  </si>
  <si>
    <t>Wielka sztabka miedzi</t>
  </si>
  <si>
    <t>6x Ruda miedzi -&gt; 1x Wielka sztabka miedzi</t>
  </si>
  <si>
    <t>Wielka sztabka cyny</t>
  </si>
  <si>
    <t>6x Ruda cyny -&gt; 1x Wielka sztabka cyny</t>
  </si>
  <si>
    <t>Wielka sztabka stali</t>
  </si>
  <si>
    <t>6x Ruda żelaza + 3x Węgiel -&gt; 1x Wielka sztabka stali</t>
  </si>
  <si>
    <t>Wielka sztabka inwaru</t>
  </si>
  <si>
    <t>3x Ruda żelaza + 3x Ruda niklu + 3x Chrom -&gt; 1x Wielka sztabka inwaru</t>
  </si>
  <si>
    <t>Wielka sztabka żelaza meteorytowego</t>
  </si>
  <si>
    <t>6x Ruda żelaza + 3x Odłamek meteorytu -&gt; 1x Wielka sztabka żelaza meteorytowego</t>
  </si>
  <si>
    <t>Wielka sztabka brązu</t>
  </si>
  <si>
    <t>9x Ruda miedzi + 3x Ruda cyny + 3x Kawałek cynku -&gt; 1x Wielka sztabka brązu</t>
  </si>
  <si>
    <t>Wielka sztabka annodytu</t>
  </si>
  <si>
    <t>6x Ruda annodytu -&gt; 1x Wielka sztabka annodytu</t>
  </si>
  <si>
    <t>Wielka sztabka srebra</t>
  </si>
  <si>
    <t>6x Ruda srebra -&gt; 1x Wielka sztabka srebra</t>
  </si>
  <si>
    <t>Wielka sztabka kobaltu</t>
  </si>
  <si>
    <t>6x Ruda kobaltu -&gt; 1x Wielka sztabka kobaltu</t>
  </si>
  <si>
    <t>Wielka sztabka złota</t>
  </si>
  <si>
    <t>6x Ruda złota -&gt; 1x Wielka sztabka złota</t>
  </si>
  <si>
    <t>Wielka sztabka kryferytu</t>
  </si>
  <si>
    <t>6x Ruda annodytu + 3x Księżycowy pył -&gt; 1x Wielka sztabka kryferytu</t>
  </si>
  <si>
    <t>Wielka sztabka mosiądzu</t>
  </si>
  <si>
    <t>6x Ruda miedzi + 3x Sfaleryt -&gt; 1x Wielka sztabka mosiądzu</t>
  </si>
  <si>
    <t>Wielka sztabka sułtańskiej stali</t>
  </si>
  <si>
    <t>3x Ruda kobaltu + 3x Sztabka złota + 3x Klejnot pustyni -&gt; 1x Wielka sztabka sułtańskiej stali</t>
  </si>
  <si>
    <t>Wielka sztabka tytanu</t>
  </si>
  <si>
    <t>3x Ruda srebra + 6x Rutyl -&gt; 1x Wielka sztabka tytanu</t>
  </si>
  <si>
    <t>Wielka sztabka nefolitu</t>
  </si>
  <si>
    <t>9x Ruda nefolitu -&gt; 1x Wielka sztabka nefolitu</t>
  </si>
  <si>
    <t>Wielka sztabka adamantium</t>
  </si>
  <si>
    <t>9x Ruda adamantium -&gt; 1x Wielka sztabka adamantium</t>
  </si>
  <si>
    <t>Wielka sztabka cifilmu</t>
  </si>
  <si>
    <t>9x Ruda cifilmu -&gt; 1x Wielka sztabka cifilmu</t>
  </si>
  <si>
    <t>Wielka sztabka orichalcum</t>
  </si>
  <si>
    <t>9x Ruda orichalcum -&gt; 1x Wielka sztabka orichalcum</t>
  </si>
  <si>
    <t>Sproszkowane żelazo</t>
  </si>
  <si>
    <t>Rdzenie energii</t>
  </si>
  <si>
    <t>1x Sztabka żelaza -&gt; 2x Sproszkowane żelazo</t>
  </si>
  <si>
    <t>Sproszkowany nikiel</t>
  </si>
  <si>
    <t>1x Sztabka niklu -&gt; 2x Sproszkowany nikiel</t>
  </si>
  <si>
    <t>Sproszkowana miedź</t>
  </si>
  <si>
    <t>1x Sztabka miedzi -&gt; 2x Sproszkowana miedź</t>
  </si>
  <si>
    <t>Sproszkowana cyna</t>
  </si>
  <si>
    <t>1x Sztabka cyny -&gt; 2x Sproszkowana cyna</t>
  </si>
  <si>
    <t>Sproszkowana stal</t>
  </si>
  <si>
    <t>1x Sztabka stali -&gt; 2x Sproszkowana stal</t>
  </si>
  <si>
    <t>Sproszkowany inwar</t>
  </si>
  <si>
    <t>1x Sztabka inwaru -&gt; 2x Sproszkowany inwar</t>
  </si>
  <si>
    <t>Sproszkowane żelazo meteorytowe</t>
  </si>
  <si>
    <t>1x Sztabka żelaza meteorytowego -&gt; 2x Sproszkowane żelazo meteorytowe</t>
  </si>
  <si>
    <t>Sproszkowany brąz</t>
  </si>
  <si>
    <t>1x Sztabka brązu -&gt; 2x Sproszkowany brąz</t>
  </si>
  <si>
    <t>Sproszkowany annodyt</t>
  </si>
  <si>
    <t>1x Sztabka annodytu -&gt; 2x Sproszkowany annodyt</t>
  </si>
  <si>
    <t>Sproszkowane srebro</t>
  </si>
  <si>
    <t>1x Sztabka srebra -&gt; 2x Sproszkowane srebro</t>
  </si>
  <si>
    <t>Sproszkowany kobalt</t>
  </si>
  <si>
    <t>1x Sztabka kobaltu -&gt; 2x Sproszkowany kobalt</t>
  </si>
  <si>
    <t>Sproszkowane złoto</t>
  </si>
  <si>
    <t>1x Sztabka złota -&gt; 2x Sproszkowane złoto</t>
  </si>
  <si>
    <t>Sproszkowany kryferyt</t>
  </si>
  <si>
    <t>1x Sztabka kryferytu -&gt; 2x Sproszkowany kryferyt</t>
  </si>
  <si>
    <t>Sproszkowany mosiądz</t>
  </si>
  <si>
    <t>1x Sztabka mosiądzu -&gt; 2x Sproszkowany mosiądz</t>
  </si>
  <si>
    <t>Sproszkowana sułtańska stal</t>
  </si>
  <si>
    <t>1x Sztabka sułtańskiej stali -&gt; 2x Sproszkowana sułtańska stal</t>
  </si>
  <si>
    <t>Sproszkowany tytan</t>
  </si>
  <si>
    <t>1x Sztabka tytanu -&gt; 2x Sproszkowany tytan</t>
  </si>
  <si>
    <t>Sproszkowany nefolit</t>
  </si>
  <si>
    <t>1x Sztabka nefolitu -&gt; 2x Sproszkowany nefolit</t>
  </si>
  <si>
    <t>Sproszkowane adamantium</t>
  </si>
  <si>
    <t>1x Sztabka adamantium -&gt; 2x Sproszkowane adamantium</t>
  </si>
  <si>
    <t>Sproszkowany cifilm</t>
  </si>
  <si>
    <t>1x Sztabka cifilmu -&gt; 2x Sproszkowany cifilm</t>
  </si>
  <si>
    <t>Sproszkowane orichalcum</t>
  </si>
  <si>
    <t>1x Sztabka orichalcum -&gt; 2x Sproszkowane orichalcum</t>
  </si>
  <si>
    <t>Żelazny łańcuch</t>
  </si>
  <si>
    <t>1x Sztabka żelaza -&gt; 1x Żelazny łańcuch</t>
  </si>
  <si>
    <t>Niklowy łańcuch</t>
  </si>
  <si>
    <t>1x Sztabka niklu -&gt; 1x Niklowy łańcuch</t>
  </si>
  <si>
    <t>Miedziany łańcuch</t>
  </si>
  <si>
    <t>1x Sztabka miedzi -&gt; 1x Miedziany łańcuch</t>
  </si>
  <si>
    <t>Cynowy łańcuch</t>
  </si>
  <si>
    <t>1x Sztabka cyny -&gt; 1x Cynowy łańcuch</t>
  </si>
  <si>
    <t>Stalowy łańcuch</t>
  </si>
  <si>
    <t>1x Sztabka stali -&gt; 1x Stalowy łańcuch</t>
  </si>
  <si>
    <t>Inwarowy łańcuch</t>
  </si>
  <si>
    <t>1x Sztabka inwaru -&gt; 1x Inwarowy łańcuch</t>
  </si>
  <si>
    <t>Meteorytowy łańcuch</t>
  </si>
  <si>
    <t>1x Sztabka żelaza meteorytowego -&gt; 1x Meteorytowy łańcuch</t>
  </si>
  <si>
    <t>Brązowy łańcuch</t>
  </si>
  <si>
    <t>1x Sztabka brązu -&gt; 1x Brązowy łańcuch</t>
  </si>
  <si>
    <t>Annodytowy łańcuch</t>
  </si>
  <si>
    <t>1x Sztabka annodytu -&gt; 1x Annodytowy łańcuch</t>
  </si>
  <si>
    <t>Srebrny łańcuch</t>
  </si>
  <si>
    <t>1x Sztabka srebra -&gt; 1x Srebrny łańcuch</t>
  </si>
  <si>
    <t>Kobaltowy łańcuch</t>
  </si>
  <si>
    <t>1x Sztabka kobaltu -&gt; 1x Kobaltowy łańcuch</t>
  </si>
  <si>
    <t>Złoty łańcuch</t>
  </si>
  <si>
    <t>1x Sztabka złotu -&gt; 1x Złoty łańcuch</t>
  </si>
  <si>
    <t>Kryferytowy łańcuch</t>
  </si>
  <si>
    <t>1x Sztabka kryferytu -&gt; 1x Kryferytowy łańcuch</t>
  </si>
  <si>
    <t>Mosiężny łańcuch</t>
  </si>
  <si>
    <t>1x Sztabka mosiądzu -&gt; 1x Mosiężny łańcuch</t>
  </si>
  <si>
    <t>Shellański łańcuch</t>
  </si>
  <si>
    <t>1x Sztabka sułtańskiej stali -&gt; 1x Shellański łańcuch</t>
  </si>
  <si>
    <t>Tytanowy łańcuch</t>
  </si>
  <si>
    <t>1x Sztabka tytanu -&gt; 1x Tytanowy łańcuch</t>
  </si>
  <si>
    <t>Nefolitowy łańcuch</t>
  </si>
  <si>
    <t>1x Sztabka nefolitu -&gt; 1x Nefolitowy łańcuch</t>
  </si>
  <si>
    <t>Adamantowy łańcuch</t>
  </si>
  <si>
    <t>1x Sztabka adamantu -&gt; 1x Adamantowy łańcuch</t>
  </si>
  <si>
    <t>Cifilmowy łańcuch</t>
  </si>
  <si>
    <t>1x Sztabka cifilmu -&gt; 1x Cifilmowy łańcuch</t>
  </si>
  <si>
    <t>Orichalconowy łańcuch</t>
  </si>
  <si>
    <t>1x Sztabka orichalcum -&gt; 1x Orichalconowy łańcuch</t>
  </si>
  <si>
    <t>Żelazna blacha</t>
  </si>
  <si>
    <t>2x Sztabka żelaza -&gt; 1x Żelazna blacha</t>
  </si>
  <si>
    <t>Niklowa blacha</t>
  </si>
  <si>
    <t>2x Sztabka niklu -&gt; 1x Niklowa blacha</t>
  </si>
  <si>
    <t>Miedziana blacha</t>
  </si>
  <si>
    <t>2x Sztabka miedzi -&gt; 1x Miedziana blacha</t>
  </si>
  <si>
    <t>Cynowa blacha</t>
  </si>
  <si>
    <t>2x Sztabka cyny -&gt; 1x Cynowa blacha</t>
  </si>
  <si>
    <t>Stalowa blacha</t>
  </si>
  <si>
    <t>2x Sztabka stali -&gt; 1x Stalowa blacha</t>
  </si>
  <si>
    <t>Inwarowa blacha</t>
  </si>
  <si>
    <t>2x Sztabka inwaru -&gt; 1x Inwarowa blacha</t>
  </si>
  <si>
    <t>Meteorytowa blacha</t>
  </si>
  <si>
    <t>2x Sztabka meteorytowego żelaza -&gt; 1x Meteorytowa blacha</t>
  </si>
  <si>
    <t>Brązowa blacha</t>
  </si>
  <si>
    <t>2x Sztabka brązu -&gt; 1x Brązowa blacha</t>
  </si>
  <si>
    <t>Annodytowa blacha</t>
  </si>
  <si>
    <t>2x Sztabka annodytu -&gt; 1x Annodytowa blacha</t>
  </si>
  <si>
    <t>Srebrna blacha</t>
  </si>
  <si>
    <t>2x Sztabka srebra -&gt; 1x Srebrna blacha</t>
  </si>
  <si>
    <t>Kobaltowa blacha</t>
  </si>
  <si>
    <t>2x Sztabka kobaltu -&gt; 1x Kobaltowa blacha</t>
  </si>
  <si>
    <t>Złota blacha</t>
  </si>
  <si>
    <t>2x Sztabka złota -&gt; 1x Złota blacha</t>
  </si>
  <si>
    <t>Kryferytowa blacha</t>
  </si>
  <si>
    <t>2x Sztabka kryferytu -&gt; 1x Kryferytowa blacha</t>
  </si>
  <si>
    <t>Mosiężna blacha</t>
  </si>
  <si>
    <t>2x Sztabka mosiądzu -&gt; 1x Mosiężna blacha</t>
  </si>
  <si>
    <t>Shellańska blacha</t>
  </si>
  <si>
    <t>2x Sztabka sułtańskiej stali -&gt; 1x Shellańska blacha</t>
  </si>
  <si>
    <t>Tytanowa blacha</t>
  </si>
  <si>
    <t>2x Sztabka tytanu -&gt; 1x Tytanowa blacha</t>
  </si>
  <si>
    <t>Nefolitowa blacha</t>
  </si>
  <si>
    <t>2x Sztabka nefolitu -&gt; 1x Nefolitowa blacha</t>
  </si>
  <si>
    <t>Adamantowa blacha</t>
  </si>
  <si>
    <t>2x Sztabka adamantium -&gt; 1x Adamantowa blacha</t>
  </si>
  <si>
    <t>Cifilmowa blacha</t>
  </si>
  <si>
    <t>2x Sztabka cifilmu -&gt; 1x Cifilmowa blacha</t>
  </si>
  <si>
    <t>Orichalconowa blacha</t>
  </si>
  <si>
    <t>2x Sztabka orichalcum -&gt; 1x Orichalconowa blacha</t>
  </si>
  <si>
    <t>Skóra kozy</t>
  </si>
  <si>
    <t>Wyprawione skóry</t>
  </si>
  <si>
    <t>Skóra dzikiego psa</t>
  </si>
  <si>
    <t>Skóra królika</t>
  </si>
  <si>
    <t>Skóra lisa</t>
  </si>
  <si>
    <t>Skóra tygrysa</t>
  </si>
  <si>
    <t>Skóra jelenia</t>
  </si>
  <si>
    <t>Skóra dzika</t>
  </si>
  <si>
    <t>Skóra warana</t>
  </si>
  <si>
    <t>Skóra niedźwiedzia</t>
  </si>
  <si>
    <t>Skóra trolla</t>
  </si>
  <si>
    <t>Skóra aligatora</t>
  </si>
  <si>
    <t>Skóra leoparda</t>
  </si>
  <si>
    <t>Skóra wilka</t>
  </si>
  <si>
    <t>Skóra bawoła</t>
  </si>
  <si>
    <t>Skóra wielbłąda</t>
  </si>
  <si>
    <t>Skóra geparda</t>
  </si>
  <si>
    <t>Skóra piekielnego ogara</t>
  </si>
  <si>
    <t>Skóra smoka</t>
  </si>
  <si>
    <t>Skóra wiwerny</t>
  </si>
  <si>
    <t>Skóra gryfa</t>
  </si>
  <si>
    <t>Wyprawiona skóra kozy</t>
  </si>
  <si>
    <t>Wyposażenie, Paski ze skóry</t>
  </si>
  <si>
    <t>1x Skóra kozy -&gt; 1x Wyprawiona skóra kozy</t>
  </si>
  <si>
    <t>Wyprawiona skóra dzikiego psa</t>
  </si>
  <si>
    <t>2x Skóra dzikiego psa -&gt; 1x Wyprawiona skóra dzikiego psa</t>
  </si>
  <si>
    <t>Wyprawiona skóra królika</t>
  </si>
  <si>
    <t>3x Skóra królika -&gt; 1x Wyprawiona skóra królika</t>
  </si>
  <si>
    <t>Wyprawiona skóra lisa</t>
  </si>
  <si>
    <t>2x Skóra lisa -&gt; 1x Wyprawiona skóra lisa</t>
  </si>
  <si>
    <t>Wyprawiona skóra tygrysa</t>
  </si>
  <si>
    <t>1x Skóra tygrysa -&gt; 3x Wyprawiona skóra tygrysa</t>
  </si>
  <si>
    <t>Wyprawiona skóra jelenia</t>
  </si>
  <si>
    <t>1x Skóra jelenia -&gt; 3x Wyprawiona skóra jelenia</t>
  </si>
  <si>
    <t>Wyprawiona skóra dzika</t>
  </si>
  <si>
    <t>1x Skóra dzika -&gt; 2x Wyprawiona skóra dzika</t>
  </si>
  <si>
    <t>Wyprawiona skóra warana</t>
  </si>
  <si>
    <t>1x Skóra warana -&gt; 1x Wyprawiona skóra warana</t>
  </si>
  <si>
    <t>Wyprawiona skóra niedźwiedzia</t>
  </si>
  <si>
    <t>1x Skóra niedźwiedzia -&gt; 4x Wyprawiona skóra niedźwiedzia</t>
  </si>
  <si>
    <t>Wyprawiona skóra trolla</t>
  </si>
  <si>
    <t>1x Skóra trolla -&gt; 3x Wyprawiona skóra trolla</t>
  </si>
  <si>
    <t>Wyprawiona skóra aligatora</t>
  </si>
  <si>
    <t>1x Skóra aligatora -&gt; 3x Wyprawiona skóra aligatora</t>
  </si>
  <si>
    <t>Wyprawiona skóra leoparda</t>
  </si>
  <si>
    <t>1x Skóra leoparda -&gt; 4x Wyprawiona skóra leoparda</t>
  </si>
  <si>
    <t>Wyprawiona skóra wilka</t>
  </si>
  <si>
    <t>1x Skóra wilka -&gt; 1x Wyprawiona skóra wilka</t>
  </si>
  <si>
    <t>Wyprawiona skóra bawoła</t>
  </si>
  <si>
    <t>1x Skóra bawoła -&gt; 3x Wyprawiona skóra bawoła</t>
  </si>
  <si>
    <t>Wyprawiona skóra wielbłąda</t>
  </si>
  <si>
    <t>2x Skóra skorpiona -&gt; 1x Wyprawiona skóra skorpiona</t>
  </si>
  <si>
    <t>Wyprawiona skóra geparda</t>
  </si>
  <si>
    <t>1x Skóra geparda -&gt; 3x Wyprawiona skóra geparda</t>
  </si>
  <si>
    <t>Wyprawiona skóra piekielnego ogara</t>
  </si>
  <si>
    <t>1x Skóra piekielnego ogara -&gt; 1x Wyprawiona skóra piekielnego ogara</t>
  </si>
  <si>
    <t>Wyprawiona skóra smoka</t>
  </si>
  <si>
    <t>1x Skóra smoka -&gt; 6x Wyprawiona skóra smoka</t>
  </si>
  <si>
    <t>Wyprawiona skóra wiwerny</t>
  </si>
  <si>
    <t>1x Skóra wiwerny -&gt; 5x Wyprawiona skóra wiwerny</t>
  </si>
  <si>
    <t>Wyprawiona skóra gryfa</t>
  </si>
  <si>
    <t>1x Skóra gryfa -&gt; 4x Wyprawiona skóra gryfa</t>
  </si>
  <si>
    <t>Paski ze skóry kozy</t>
  </si>
  <si>
    <t>1x Wyprawiona skóra kozy -&gt; 2x Paski ze skóry kozy</t>
  </si>
  <si>
    <t>Paski ze skóry dzikiego psa</t>
  </si>
  <si>
    <t>1x Wyprawiona skóra dzikiego psa -&gt; 2x Paski ze skóry dzikiego psa</t>
  </si>
  <si>
    <t>Paski ze skóry królika</t>
  </si>
  <si>
    <t>1x Wyprawiona skóra królika -&gt; 2x Paski ze skóry królika</t>
  </si>
  <si>
    <t>Paski ze skóry lisa</t>
  </si>
  <si>
    <t>1x Wyprawiona skóra lisa -&gt; 2x Paski ze skóry lisa</t>
  </si>
  <si>
    <t>Paski ze skóry tygrysa</t>
  </si>
  <si>
    <t>1x Wyprawiona skóra tygrysa -&gt; 2x Paski ze skóry tygrysa</t>
  </si>
  <si>
    <t>Paski ze skóry jelenia</t>
  </si>
  <si>
    <t>1x Wyprawiona skóra jelenia -&gt; 2x Paski ze skóry jelenia</t>
  </si>
  <si>
    <t>Paski ze skóry dzika</t>
  </si>
  <si>
    <t>1x Wyprawiona skóra dzika -&gt; 2x Paski ze skóry dzika</t>
  </si>
  <si>
    <t>Paski ze skóry warana</t>
  </si>
  <si>
    <t>1x Wyprawiona skóra warana -&gt; 2x Paski ze skóry warana</t>
  </si>
  <si>
    <t>Paski ze skóry niedźwiedzia</t>
  </si>
  <si>
    <t>1x Wyprawiona skóra niedźwiedzia -&gt; 2x Paski ze skóry niedźwiedzia</t>
  </si>
  <si>
    <t>Paski ze skóry trolla</t>
  </si>
  <si>
    <t>1x Wyprawiona skóra trolla -&gt; 2x Paski ze skóry trolla</t>
  </si>
  <si>
    <t>Paski ze skóry aligatora</t>
  </si>
  <si>
    <t>1x Wyprawiona skóra aligatora -&gt; 2x Paski ze skóry aligatora</t>
  </si>
  <si>
    <t>Paski ze skóry leoparda</t>
  </si>
  <si>
    <t>1x Wyprawiona skóra leoparda -&gt; 2x Paski ze skóry leoparda</t>
  </si>
  <si>
    <t>Paski ze skóry wilka</t>
  </si>
  <si>
    <t>1x Wyprawiona skóra wilka -&gt; 2x Paski ze skóry wilka</t>
  </si>
  <si>
    <t>Paski ze skóry bawoła</t>
  </si>
  <si>
    <t>1x Wyprawiona skóra bawoła -&gt; 2x Paski ze skóry bawoła</t>
  </si>
  <si>
    <t>Paski ze skóry wielbłąda</t>
  </si>
  <si>
    <t>1x Wyprawiona skóra skorpiona -&gt; 2x Paski ze skóry skorpiona</t>
  </si>
  <si>
    <t>Paski ze skóry geparda</t>
  </si>
  <si>
    <t>1x Wyprawiona skóra geparda -&gt; 2x Paski ze skóry geparda</t>
  </si>
  <si>
    <t>Paski ze skóry piekielnego ogara</t>
  </si>
  <si>
    <t>1x Wyprawiona skóra piekielnego ogara -&gt; 2x Paski ze skóry piekielnego ogara</t>
  </si>
  <si>
    <t>Paski ze skóry smoka</t>
  </si>
  <si>
    <t>1x Wyprawiona skóra smoka -&gt; 2x Paski ze skóry smoka</t>
  </si>
  <si>
    <t>Paski ze skóry wiwerny</t>
  </si>
  <si>
    <t>1x Wyprawiona skóra wiwerny -&gt; 2x Paski ze skóry wiwerny</t>
  </si>
  <si>
    <t>Paski ze skóry gryfa</t>
  </si>
  <si>
    <t>1x Wyprawiona skóra gryfa -&gt; 2x Paski ze skóry gryfa</t>
  </si>
  <si>
    <t>Drewno modrzewiowe</t>
  </si>
  <si>
    <t>Deski</t>
  </si>
  <si>
    <t>Drewno lipowe</t>
  </si>
  <si>
    <t>Drewno topolowe</t>
  </si>
  <si>
    <t>Drewno olchowe</t>
  </si>
  <si>
    <t>Drewno głogowe</t>
  </si>
  <si>
    <t>Drewno brzozowe</t>
  </si>
  <si>
    <t>Drewno cyprysowe</t>
  </si>
  <si>
    <t>Drewno cedrowe</t>
  </si>
  <si>
    <t>Drewno grabowe</t>
  </si>
  <si>
    <t>Drewno wiązowe</t>
  </si>
  <si>
    <t>Drewno świerkowe</t>
  </si>
  <si>
    <t>Drewno bzowe</t>
  </si>
  <si>
    <t>Drewno dębowe</t>
  </si>
  <si>
    <t>Drewno bukowe</t>
  </si>
  <si>
    <t>Drewno sekwojowe</t>
  </si>
  <si>
    <t>Drewno jodłowe</t>
  </si>
  <si>
    <t>Drewno czarnodębowe</t>
  </si>
  <si>
    <t>Drewno sosnowe</t>
  </si>
  <si>
    <t>Drewno hebanowe</t>
  </si>
  <si>
    <t>Drewno leszczynowe</t>
  </si>
  <si>
    <t>Modrzewiowa deska</t>
  </si>
  <si>
    <t>Patyki</t>
  </si>
  <si>
    <t>1x Drewno modrzewiowe -&gt; 2x Modrzewiowa deska</t>
  </si>
  <si>
    <t>Lipowa deska</t>
  </si>
  <si>
    <t>1x Drewno lipowe -&gt; 2x Lipowa deska</t>
  </si>
  <si>
    <t>Topolowa deska</t>
  </si>
  <si>
    <t>1x Drewno topolowe -&gt; 2x Topolowa deska</t>
  </si>
  <si>
    <t>Olchowa deska</t>
  </si>
  <si>
    <t>1x Drewno olchowe -&gt; 2x Olchowa deska</t>
  </si>
  <si>
    <t>Głogowa deska</t>
  </si>
  <si>
    <t>1x Drewno głógowe -&gt; 2x Głógowa deska</t>
  </si>
  <si>
    <t>Brzozowa deska</t>
  </si>
  <si>
    <t>1x Drewno brzozowe -&gt; 2x Brzozowa deska</t>
  </si>
  <si>
    <t>Cyprysowa deska</t>
  </si>
  <si>
    <t>1x Drewno cyprysowe -&gt; 2x Cyprysowa deska</t>
  </si>
  <si>
    <t>Cedrowa deska</t>
  </si>
  <si>
    <t>1x Drewno cedrowe -&gt; 2x Cedrowa deska</t>
  </si>
  <si>
    <t>Grabowa deska</t>
  </si>
  <si>
    <t>1x Drewno grabowe -&gt; 2x Grabowa deska</t>
  </si>
  <si>
    <t>Wiązowa deska</t>
  </si>
  <si>
    <t>1x Drewno wiązowe -&gt; 2x Wiązowa deska</t>
  </si>
  <si>
    <t>Świerkowa deska</t>
  </si>
  <si>
    <t>1x Drewno świerkowe -&gt; 2x Świerkowa deska</t>
  </si>
  <si>
    <t>Bzowa deska</t>
  </si>
  <si>
    <t>1x Drewno bzowe -&gt; 2x Bzowa deska</t>
  </si>
  <si>
    <t>Dębowa deska</t>
  </si>
  <si>
    <t>1x Drewno dębowe -&gt; 2x Dębowa deska</t>
  </si>
  <si>
    <t>Bukowa deska</t>
  </si>
  <si>
    <t>1x Drewno bukowe -&gt; 2x Bukowa deska</t>
  </si>
  <si>
    <t>Sekwojowa deska</t>
  </si>
  <si>
    <t>1x Drewno sekwojowe -&gt; 2x Sekwojowa deska</t>
  </si>
  <si>
    <t>Jodłowa deska</t>
  </si>
  <si>
    <t>1x Drewno jodłowe -&gt; 2x Jodłowa deska</t>
  </si>
  <si>
    <t>Czarnodębowa deska</t>
  </si>
  <si>
    <t>1x Drewno czarnodębowe -&gt; 2x Czarnodębowa deska</t>
  </si>
  <si>
    <t>Sosnowa deska</t>
  </si>
  <si>
    <t>1x Drewno sosnowe -&gt; 2x Sosnowa deska</t>
  </si>
  <si>
    <t>Hebanowa deska</t>
  </si>
  <si>
    <t>1x Drewno hebanowe -&gt; 2x Hebanowa deska</t>
  </si>
  <si>
    <t>Leszczynowa deska</t>
  </si>
  <si>
    <t>1x Drewno leszczynowe -&gt; 2x Leszczynowa deska</t>
  </si>
  <si>
    <t>Modrzewiowy patyk</t>
  </si>
  <si>
    <t>3x Modrzewiowa deska -&gt; 8x Modrzewiowy patyk</t>
  </si>
  <si>
    <t>Lipowy patyk</t>
  </si>
  <si>
    <t>3x Lipowa deska -&gt; 8x Lipowy patyk</t>
  </si>
  <si>
    <t>Topolowy patyk</t>
  </si>
  <si>
    <t>3x Topolowa deska -&gt; 8x Topolowy patyk</t>
  </si>
  <si>
    <t>Olchowy patyk</t>
  </si>
  <si>
    <t>3x Olchowa deska -&gt; 8x Olchowy patyk</t>
  </si>
  <si>
    <t>Głogowy patyk</t>
  </si>
  <si>
    <t>3x Głógowa deska -&gt; 8x Głógowy patyk</t>
  </si>
  <si>
    <t>Brzozowy patyk</t>
  </si>
  <si>
    <t>3x Brzozowa deska -&gt; 8x Brzozowy patyk</t>
  </si>
  <si>
    <t>Cyprysowy patyk</t>
  </si>
  <si>
    <t>3x Cyprysowa deska -&gt; 8x Cyprysowy patyk</t>
  </si>
  <si>
    <t>Cedrowy patyk</t>
  </si>
  <si>
    <t>3x Cedrowa deska -&gt; 8x Cedrowy patyk</t>
  </si>
  <si>
    <t>Grabowy patyk</t>
  </si>
  <si>
    <t>3x Grabowa deska -&gt; 8x Grabowy patyk</t>
  </si>
  <si>
    <t>Wiązowy patyk</t>
  </si>
  <si>
    <t>3x Wiązowa deska -&gt; 8x Wiązowy patyk</t>
  </si>
  <si>
    <t>Świerkowy patyk</t>
  </si>
  <si>
    <t>3x Świerkowa deska -&gt; 8x Świerkowy patyk</t>
  </si>
  <si>
    <t>Bzowy patyk</t>
  </si>
  <si>
    <t>3x Bzowa deska -&gt; 8x Bzowy patyk</t>
  </si>
  <si>
    <t>Dębowy patyk</t>
  </si>
  <si>
    <t>3x Dębowa deska -&gt; 8x Dębowy patyk</t>
  </si>
  <si>
    <t>Bukowy patyk</t>
  </si>
  <si>
    <t>3x Bukowa deska -&gt; 8x Bukowy patyk</t>
  </si>
  <si>
    <t>Sekwojowy patyk</t>
  </si>
  <si>
    <t>3x Sekwojowa deska -&gt; 8x Sekwojowy patyk</t>
  </si>
  <si>
    <t>Jodłowy patyk</t>
  </si>
  <si>
    <t>3x Jodłowa deska -&gt; 8x Jodłowy patyk</t>
  </si>
  <si>
    <t>Czarnodębowy patyk</t>
  </si>
  <si>
    <t>3x Czarnodębowa deska -&gt; 8x Czarnodębowy patyk</t>
  </si>
  <si>
    <t>Sosnowy patyk</t>
  </si>
  <si>
    <t>3x Sosnowa deska -&gt; 8x Sosnowy patyk</t>
  </si>
  <si>
    <t>Hebanowy patyk</t>
  </si>
  <si>
    <t>3x Hebanowa deska -&gt; 8x Hebanowy patyk</t>
  </si>
  <si>
    <t>Leszczynowy patyk</t>
  </si>
  <si>
    <t>3x Leszczynowa deska -&gt; 8x Leszczynowy patyk</t>
  </si>
  <si>
    <t>Słaba igła do nici</t>
  </si>
  <si>
    <t>Tkaniny</t>
  </si>
  <si>
    <t>1x Sztabka żelaza -&gt; 3x Słaba igła od nici / 1x Sztabka niklu -&gt; 3x Słaba igła od nici / 1x Sztabka miedzi -&gt; 3x Słaba igła od nici / 1x Sztabka cyny -&gt; 3x Słaba igła od nici</t>
  </si>
  <si>
    <t>Igła do nici</t>
  </si>
  <si>
    <t>1x Sztabka stali -&gt; 3x Igła od nici / 1x Sztabka inwaru -&gt; 3x Igła od nici / 1x Sztabka żelaza meteorytowego -&gt; 3x Igła od nici / 1x Sztabka brązu -&gt; 3x Igła od nici</t>
  </si>
  <si>
    <t>Dobra igła do nici</t>
  </si>
  <si>
    <t>1x Sztabka annodytu -&gt; 3x Dobra igła od nici / 1x Sztabka srebra -&gt; 3x Dobra igła od nici / 1x Sztabka kobaltu -&gt; 3x Dobra igła od nici / 1x Sztabka złota -&gt; 3x Dobra igła od nici</t>
  </si>
  <si>
    <t>Wspaniała igła do nici</t>
  </si>
  <si>
    <t>1x Sztabka kryferytu -&gt; 3x Wspaniała igła od nici / 1x Sztabka mosiądzu -&gt; 3x Wspaniała igła od nici / 1x Sztabka sułtańskiej stali -&gt; 3x Wspaniała igła od nici / 1x Sztabka tytanu -&gt; 3x Wspaniała igła od nici</t>
  </si>
  <si>
    <t>Perfekcyjna igła do nici</t>
  </si>
  <si>
    <t>1x Sztabka nefolitu -&gt; 3x Perfekcyjna igła od nici / 1x Sztabka adamantium -&gt; 3x Perfekcyjna igła od nici / 1x Sztabka cifilmu -&gt; 3x Perfekcyjna igła od nici / 1x Sztabka orichalcum -&gt; 3x Perfekcyjna igła od nici</t>
  </si>
  <si>
    <t>Włókno bawełny</t>
  </si>
  <si>
    <t>Nitki</t>
  </si>
  <si>
    <t>Włókno bukominy</t>
  </si>
  <si>
    <t>Włókno koziej wełny</t>
  </si>
  <si>
    <t>Włókno juty</t>
  </si>
  <si>
    <t>Włókno owczej wełny</t>
  </si>
  <si>
    <t>Włókno palmy</t>
  </si>
  <si>
    <t>Włókno lamiej wełny</t>
  </si>
  <si>
    <t>Włókno wasminy</t>
  </si>
  <si>
    <t>Włókno lnu</t>
  </si>
  <si>
    <t>Włókno srebrnoszponu</t>
  </si>
  <si>
    <t>Włókno wielbłądziej wełny</t>
  </si>
  <si>
    <t>Włókno meleny</t>
  </si>
  <si>
    <t>Włókno konopii</t>
  </si>
  <si>
    <t>Włókno juki</t>
  </si>
  <si>
    <t>Włókno utumeny</t>
  </si>
  <si>
    <t>Włókno trójprętu</t>
  </si>
  <si>
    <t>Włókno jedwabiu</t>
  </si>
  <si>
    <t>Włókno tagiminy</t>
  </si>
  <si>
    <t>Włókno wiskozy</t>
  </si>
  <si>
    <t>Włókno obarysu</t>
  </si>
  <si>
    <t>Bawełniana nitka</t>
  </si>
  <si>
    <t>1x Włókno bawełny -&gt; 2x Bawełniana nitka</t>
  </si>
  <si>
    <t>Bukominowa nitka</t>
  </si>
  <si>
    <t>1x Włókno bukominy -&gt; 2x Bukominowa nitka</t>
  </si>
  <si>
    <t>Nitka z koziej wełny</t>
  </si>
  <si>
    <t>1x Włókno koziej wełny -&gt; 2x Nitka z koziej wełny</t>
  </si>
  <si>
    <t>Jutowa nitka</t>
  </si>
  <si>
    <t>1x Włókno juty -&gt; 2x Jutowa nitka</t>
  </si>
  <si>
    <t>Nitka z owczej wełny</t>
  </si>
  <si>
    <t>1x Włókno owczej wełny -&gt; 2x Nitka z owczej wełny</t>
  </si>
  <si>
    <t>Palmowa nitka</t>
  </si>
  <si>
    <t>1x Włókno palmy -&gt; 2x Palmowa nitka</t>
  </si>
  <si>
    <t>Nitka z lamiej wełny</t>
  </si>
  <si>
    <t>1x Włókno lamiej wełny -&gt; 2x Nitka z lamiej wełny</t>
  </si>
  <si>
    <t>Wasminowa nitka</t>
  </si>
  <si>
    <t>1x Włókno wasminy -&gt; 2x Wasminowa nitka</t>
  </si>
  <si>
    <t>Lniana nitka</t>
  </si>
  <si>
    <t>1x Włókno lnu -&gt; 2x Lniana nitka</t>
  </si>
  <si>
    <t>Srebrnoszponowa nitka</t>
  </si>
  <si>
    <t>1x Włókno srebrnoszponu -&gt; 2x Srebrnoszponowa nitka</t>
  </si>
  <si>
    <t>Nitka z wielbłądziej wełny</t>
  </si>
  <si>
    <t>1x Włókno wielbłądziej wełny -&gt; 2x Nitka z wielbładziej nitki</t>
  </si>
  <si>
    <t>Melenowa nitka</t>
  </si>
  <si>
    <t>1x Włókno meleny -&gt; 2x Melenowa nitka</t>
  </si>
  <si>
    <t>Konopna nitka</t>
  </si>
  <si>
    <t>1x Włókno konopii -&gt; 2x Konopna nitka</t>
  </si>
  <si>
    <t>Jukowa nitka</t>
  </si>
  <si>
    <t>1x Włókno juki -&gt; 2x Jukowa nitka</t>
  </si>
  <si>
    <t>Utumenowa nitka</t>
  </si>
  <si>
    <t>1x Włókno utumeny -&gt; 2x Utumenowa nitka</t>
  </si>
  <si>
    <t>Trójprętowa nitka</t>
  </si>
  <si>
    <t>1x Włókno trójprętu  -&gt; 2x Trójprętowa nitka</t>
  </si>
  <si>
    <t>Jedwabna nitka</t>
  </si>
  <si>
    <t>1x Włókno jedwabiu -&gt; 2x Jedwabna nitka</t>
  </si>
  <si>
    <t>Tagiminowa nitka</t>
  </si>
  <si>
    <t>1x Włókno tagiminy -&gt; 2x Tagiminowa nitka</t>
  </si>
  <si>
    <t>Wiskozowa nitka</t>
  </si>
  <si>
    <t>1x Włókno wiskozy -&gt; 2x Wiskozowa nitka</t>
  </si>
  <si>
    <t>Obarysowa nitka</t>
  </si>
  <si>
    <t>1x Włókno obarysu -&gt; 2x Obarysowa nitka</t>
  </si>
  <si>
    <t>Bawełniana tkanina</t>
  </si>
  <si>
    <t>8x Bawełniana nitka + 1x Słaba igła od nici -&gt; 3x Bawełniana tkanina</t>
  </si>
  <si>
    <t>Bukominowa tkanina</t>
  </si>
  <si>
    <t>8x Bukominowa nitka + 1x Słaba igła od nici -&gt; 3x Bukominowa tkanina</t>
  </si>
  <si>
    <t>Tkanina z koziej wełny</t>
  </si>
  <si>
    <t>8x Nitka z koziej wełny + 1x Słaba igła od nici -&gt; 3x Tkanina z koziej wełny</t>
  </si>
  <si>
    <t>Jutowa tkanina</t>
  </si>
  <si>
    <t>8x Jutowa nitka + 1x Słaba igła od nici -&gt; 3x Jutowa tkanina</t>
  </si>
  <si>
    <t>Tkanina z owczej wełny</t>
  </si>
  <si>
    <t>8x Nitka z owczej wełny + 1x Igła od nici -&gt; 3x Tkanina z owczej wełny</t>
  </si>
  <si>
    <t>Palmowa tkanina</t>
  </si>
  <si>
    <t>8x Palmowa nitka + 1x Igła od nici -&gt; 3x Palmowa tkanina</t>
  </si>
  <si>
    <t>Tkanina z lamiej wełny</t>
  </si>
  <si>
    <t>8x Nitka z lamiej wełny + 1x Igła od nici -&gt; 3x Tkanina z lamiej wełny</t>
  </si>
  <si>
    <t>Wasminowa tkanina</t>
  </si>
  <si>
    <t>8x Wasminowa nitka + 1x Igła od nici -&gt; 3x Wasminowa tkanina</t>
  </si>
  <si>
    <t>Lniana tkanina</t>
  </si>
  <si>
    <t>8x Lniana nitka + 1x Dobra igła od nici -&gt; 3x Lniana tkanina</t>
  </si>
  <si>
    <t>Srebrnoszponowa tkanina</t>
  </si>
  <si>
    <t>8x Srebrnoszponowa nitka + 1x Dobra igła od nici -&gt; 3x Srebrnoszponowa tkanina</t>
  </si>
  <si>
    <t>Tkanina z wielbłądziej wełny</t>
  </si>
  <si>
    <t>8x Nitka z wielbłądziej wełny + 1x Dobra igła od nici -&gt; 3x Tkanina z wielbłądziej wełny</t>
  </si>
  <si>
    <t>Melenowa tkanina</t>
  </si>
  <si>
    <t>8x Melenowa nitka + 1x Dobra igła od nici -&gt; 3x Melenowa tkanina</t>
  </si>
  <si>
    <t>Konopna tkanina</t>
  </si>
  <si>
    <t>8x Konopna nitka + 1x Wspaniała igła od nici -&gt; 3x Konopna tkanina</t>
  </si>
  <si>
    <t>Jukowa tkanina</t>
  </si>
  <si>
    <t>8x Jukowa nitka + 1x Wspaniała igła od nici -&gt; 3x Jukowa tkanina</t>
  </si>
  <si>
    <t>Utumenowa tkanina</t>
  </si>
  <si>
    <t>8x Utumenowa nitka + 1x Wspaniała igła od nici -&gt; 3x Utumenowa tkanina</t>
  </si>
  <si>
    <t>Trójprętowa tkanina</t>
  </si>
  <si>
    <t>8x Trójprętowa nitka + 1x Wspaniała igła od nici -&gt; 3x Trójprętowa tkanina</t>
  </si>
  <si>
    <t>Jedwabna tkanina</t>
  </si>
  <si>
    <t>8x Jedwabna nitka + 1x Perfekcyjna igła od nici -&gt; 3x Jedwabna tkanina</t>
  </si>
  <si>
    <t>Tagiminowa tkanina</t>
  </si>
  <si>
    <t>8x Tagiminowa nitka + 1x Perfekcyjna igła od nici -&gt; 3x Tagiminowa tkanina</t>
  </si>
  <si>
    <t>Wiskozowa tkanina</t>
  </si>
  <si>
    <t>8x Wiskozowa nitka + 1x Perfekcyjna igła od nici -&gt; 3x Wiskozowa tkanina</t>
  </si>
  <si>
    <t>Obarysowa tkanina</t>
  </si>
  <si>
    <t>8x Obarysowa nitka + 1x Perfekcyjna igła od nici -&gt; 3x Obarysowa tkanina</t>
  </si>
  <si>
    <t>Czerwony pył energetyczny</t>
  </si>
  <si>
    <t>Różdżki</t>
  </si>
  <si>
    <t>1x Żółty pył energetyczny -&gt; 4x Czerwony pył energetyczny, Wszystkie torby zasobów</t>
  </si>
  <si>
    <t>Żółty pył energetyczny</t>
  </si>
  <si>
    <t>Różdżki, Niższe pyły energetyczne</t>
  </si>
  <si>
    <t>1x Zielony pył energetyczny -&gt; 4x Żółty pył energetyczny, Wszystkie torby zasobów</t>
  </si>
  <si>
    <t>Zielony pył energetyczny</t>
  </si>
  <si>
    <t>1x Niebieski pył energetyczny -&gt; 4x Zielony pył energetyczny, Wszystkie torby zasobów</t>
  </si>
  <si>
    <t>Niebieski pył energetyczny</t>
  </si>
  <si>
    <t>1x Fioletowy pył energetyczny -&gt; 4x Niebieski pył energetyczny, Wszystkie torby zasobów</t>
  </si>
  <si>
    <t>Fioletowy pył energetyczny</t>
  </si>
  <si>
    <t>Wszystkie torby zasobów</t>
  </si>
  <si>
    <t>Mizerna dusza</t>
  </si>
  <si>
    <t>Infuzja wyposzażenia o poziomie 1-10</t>
  </si>
  <si>
    <t>Potwory o poziomie 1-10</t>
  </si>
  <si>
    <t>Mała dusza</t>
  </si>
  <si>
    <t>Infuzja wyposzażenia o poziomie 11-20</t>
  </si>
  <si>
    <t>Potwory o poziomie 11-20</t>
  </si>
  <si>
    <t>Zwykła dusza</t>
  </si>
  <si>
    <t>Infuzja wyposzażenia o poziomie 21-30</t>
  </si>
  <si>
    <t>Potwory o poziomie 21-30</t>
  </si>
  <si>
    <t>Silna dusza</t>
  </si>
  <si>
    <t>Infuzja wyposzażenia o poziomie 31-40</t>
  </si>
  <si>
    <t>Potwory o poziomie 31-40</t>
  </si>
  <si>
    <t>Potężna dusza</t>
  </si>
  <si>
    <t>Infuzja wyposzażenia o poziomie 41-50</t>
  </si>
  <si>
    <t>Potwory o poziomie 41-50</t>
  </si>
  <si>
    <t>Kość szkieleta</t>
  </si>
  <si>
    <t>Mikstury</t>
  </si>
  <si>
    <t>1-2 Szkielet Miecznik (10%), 1-2 Szkielet Łucznik (10%), 1-2 Szkielet Okultysta (10%), 1-2 Szkielet Obrońca (10%), Koścista torba zasobów</t>
  </si>
  <si>
    <t>Alchemia</t>
  </si>
  <si>
    <t>Mózg umarlaka</t>
  </si>
  <si>
    <t>1 Umarlak (30%), 1 Ghul (30%), Koścista torba zasobów</t>
  </si>
  <si>
    <t>Ucho elfa</t>
  </si>
  <si>
    <t>1-2 Elfi Łucznik (15%), 1-2 Elfi Łupieżca (15%), 1-2 Elfi Druid (15%), Leśna torba zasobów</t>
  </si>
  <si>
    <t>Róg demona</t>
  </si>
  <si>
    <t>1 Demoniczny Zbrojny (10%), 1 Demoniczny Czarownik (10%), 1 Demoniczny Bandyta (10%), 1 Demoniczny Iluzjonista (10%), Demoniczna torba zasobów</t>
  </si>
  <si>
    <t>Oko pirata</t>
  </si>
  <si>
    <t>1 Pirat Kombatant (10%), 1 Pirat Harpuniarz (10%), 1 Pirat Konsyliarz (10%), 1 Pirat Kanonier (10%), Morska torba zasobów</t>
  </si>
  <si>
    <t>Pióro ptaka</t>
  </si>
  <si>
    <t>1-3 Piaszczysty Feniks (20%), 1-3 Papuga (20%), Morska torba zasobów</t>
  </si>
  <si>
    <t>Owoc kaktusa</t>
  </si>
  <si>
    <t>1-2 Awazar Buławnik (10%), 1-2 Awazar Łucznik (10%), 1-2 Awazar Medyk (10%), 1-2 Awazar Weteran (10%), Pustynna torba zasobów</t>
  </si>
  <si>
    <t>Spaczone serce</t>
  </si>
  <si>
    <t>1 Kapłan Malada (8%), 1 Czarny Rycerz Malada (8%), 1 Plugawiciel Malada (8%), 1 Strażnik Świątynny (8%), 1 Nekromanta Malada (8%), Świątynna torba zasobów</t>
  </si>
  <si>
    <t>Skruszona czaszka</t>
  </si>
  <si>
    <t>1 Włócznik Skruszonej Czaszki (20%), 1 Szaman Skruszonej Czaszki (20%), Górska torba zasobów</t>
  </si>
  <si>
    <t>Nerka trolla</t>
  </si>
  <si>
    <t>1 Troll Górski (40%), Górska torba zasobów</t>
  </si>
  <si>
    <t>Żyjący liść</t>
  </si>
  <si>
    <t>1-3 Mięsożerna Roślina (15%), 1-3 Pasożytnicza Roślina (15%), 1-3 Plująca Roślina (15%), Bagienna torba zasobów</t>
  </si>
  <si>
    <t>Kieł aligatora</t>
  </si>
  <si>
    <t>1-3 Aligator (20%), Bagienna torba zasobów</t>
  </si>
  <si>
    <t>Ektoplazma</t>
  </si>
  <si>
    <t>1 Upiór (10%), Koścista torba zasobów</t>
  </si>
  <si>
    <t>Pazur ghula</t>
  </si>
  <si>
    <t>1 Ghul (10%), Koścista torba zasobów</t>
  </si>
  <si>
    <t>Kieł wilka</t>
  </si>
  <si>
    <t>1 Wściekły Wilk (10%), Leśna torba zasobów</t>
  </si>
  <si>
    <t>Pozawymiarowa macka</t>
  </si>
  <si>
    <t>1 Eayan'masakh (10%), Demoniczna torba zasobów</t>
  </si>
  <si>
    <t>Błyszczący piasek</t>
  </si>
  <si>
    <t>1 Piaszczysty Feniks (10%), Morska torba zasobów</t>
  </si>
  <si>
    <t>Płetwa rekina</t>
  </si>
  <si>
    <t>1 Człowiek-rekin (10%), Morska torba zasobów</t>
  </si>
  <si>
    <t>Żywioł wiatru</t>
  </si>
  <si>
    <t>1 Piaszczyste Tornado (10%), Pustynna torba zasobów</t>
  </si>
  <si>
    <t>Starożytna skóra</t>
  </si>
  <si>
    <t>1 Mumia (10%), Świątynna torba zasobów</t>
  </si>
  <si>
    <t>Histyna</t>
  </si>
  <si>
    <t>1 Histynowy Golem (10%), Górska torba zasobów</t>
  </si>
  <si>
    <t>Pióro ruka</t>
  </si>
  <si>
    <t>1 Ruk Tregandzki (10%), Górska torba zasobów</t>
  </si>
  <si>
    <t>Ssawka komara</t>
  </si>
  <si>
    <t>1 Strażnik Bagien (10%), Bagienna torba zasobów</t>
  </si>
  <si>
    <t>Płuco topielca</t>
  </si>
  <si>
    <t>1 Topielec (10%), Bagienna torba zasobów</t>
  </si>
  <si>
    <t>Kość zabójcy</t>
  </si>
  <si>
    <t>Torba Szkieleta Zabójcy</t>
  </si>
  <si>
    <t>Królewska ektoplazma</t>
  </si>
  <si>
    <t>Torba Ducha Umarłego Króla</t>
  </si>
  <si>
    <t>Żywioł lasu</t>
  </si>
  <si>
    <t>Torba Zarażonego Enta, Torba Przywódcy Bandytów</t>
  </si>
  <si>
    <t>Demoniczny róg królewski</t>
  </si>
  <si>
    <t>Torba Cerbera, Torba Demonicznego Jarla</t>
  </si>
  <si>
    <t>Płetwa alfa-rekina</t>
  </si>
  <si>
    <t>Torba Alfa-Rekina</t>
  </si>
  <si>
    <t>Sztuczny ząb</t>
  </si>
  <si>
    <t>Torba Kapitana Piratów</t>
  </si>
  <si>
    <t>Zaczarowana dłoń</t>
  </si>
  <si>
    <t>Torba Przywódcy Awazarów, Torba Jeźdźca Alfa-Skorpiona</t>
  </si>
  <si>
    <t>Energia Malada</t>
  </si>
  <si>
    <t>Torba Hierofanty, Torba Jawy</t>
  </si>
  <si>
    <t>Krew berserka</t>
  </si>
  <si>
    <t>Torba Barbarzyńcy</t>
  </si>
  <si>
    <t>Łuski wiwerny</t>
  </si>
  <si>
    <t>Torba Wiwerny</t>
  </si>
  <si>
    <t>Żyjąca gałąź</t>
  </si>
  <si>
    <t>Torba Bagnistego Enta</t>
  </si>
  <si>
    <t>Żyjący kwiat</t>
  </si>
  <si>
    <t>Torba Ludożernej Rośliny</t>
  </si>
  <si>
    <t>Purchawka</t>
  </si>
  <si>
    <t>Katakumby</t>
  </si>
  <si>
    <t>Kosarz pospolity</t>
  </si>
  <si>
    <t>Szyszka</t>
  </si>
  <si>
    <t>Lasy</t>
  </si>
  <si>
    <t>Trawa dusicielska</t>
  </si>
  <si>
    <t>Elfie Ruiny</t>
  </si>
  <si>
    <t>Wodorosty</t>
  </si>
  <si>
    <t>Zatoki</t>
  </si>
  <si>
    <t>Kwitnąca wiśnia</t>
  </si>
  <si>
    <t>Aloe meda</t>
  </si>
  <si>
    <t>Pustynie</t>
  </si>
  <si>
    <t>Pnącza alzif</t>
  </si>
  <si>
    <t>Świątynie</t>
  </si>
  <si>
    <t>Kwiat byliny</t>
  </si>
  <si>
    <t>Góry</t>
  </si>
  <si>
    <t>Dmuchawiec tregandzki</t>
  </si>
  <si>
    <t>Sitowie</t>
  </si>
  <si>
    <t>Bagna</t>
  </si>
  <si>
    <t>Mucha zwyczajna</t>
  </si>
  <si>
    <t>Krasnoludzki mech</t>
  </si>
  <si>
    <t>Mieczokrzew</t>
  </si>
  <si>
    <t>Kwiat tulipanu</t>
  </si>
  <si>
    <t>Płonące pnącza</t>
  </si>
  <si>
    <t>Prętki doragafury</t>
  </si>
  <si>
    <t>Liść bananowca</t>
  </si>
  <si>
    <t>Kwiat rissa</t>
  </si>
  <si>
    <t>Żniwiarz pustynny</t>
  </si>
  <si>
    <t>Lodowe prętki</t>
  </si>
  <si>
    <t>Motyl królewski</t>
  </si>
  <si>
    <t>Tatarak płaski</t>
  </si>
  <si>
    <t>Żmijowiec</t>
  </si>
  <si>
    <t>Czarna wdowa</t>
  </si>
  <si>
    <t>Każraniec</t>
  </si>
  <si>
    <t>Casisa elficka</t>
  </si>
  <si>
    <t>Piekielna róża</t>
  </si>
  <si>
    <t>Owoc mizuki</t>
  </si>
  <si>
    <t>Księżycowy grzyb</t>
  </si>
  <si>
    <t>Kwiat jamali</t>
  </si>
  <si>
    <t>Skarabeusz królewski</t>
  </si>
  <si>
    <t>Szafran błękitny</t>
  </si>
  <si>
    <t>Serce gór</t>
  </si>
  <si>
    <t>Złota koniczyna</t>
  </si>
  <si>
    <t>Lwie krokusy</t>
  </si>
  <si>
    <t>Proch ziołowy: Zwykły</t>
  </si>
  <si>
    <t>Katalizatory do mikstur, Arcydzieła</t>
  </si>
  <si>
    <t>1x Słaby alkohol + 1x Kosarz pospolity + 1x Kwitnąca wiśnia + 1x Kwiat byliny -&gt; 1x</t>
  </si>
  <si>
    <t>Proch ziołowy: Grudkowaty</t>
  </si>
  <si>
    <t>1x Słaby alkohol + 1x Purchawka + 1x Szyszka + 1x Sitowie -&gt; 1x</t>
  </si>
  <si>
    <t>Proch ziołowy: Lepki</t>
  </si>
  <si>
    <t>1x Słaby alkohol + 1x Aloe meda + 1x Mucha zwyczajna + 1x Wodorosty -&gt; 1x</t>
  </si>
  <si>
    <t>Proch ziołowy: Luźny</t>
  </si>
  <si>
    <t>1x Słaby alkohol + 1x Pnącza alzif + 1x Dmuchawiec tregandzki + 1x Trawa dusicielska -&gt; 1x</t>
  </si>
  <si>
    <t>Proch ziołowy: Żółty</t>
  </si>
  <si>
    <t>2x Alkohol + 1x Kosarz pospolity + 1x Mucha zwyczajna + Dmuchawiec tregandzki -&gt; 1x</t>
  </si>
  <si>
    <t>Proch ziołowy: Zielony</t>
  </si>
  <si>
    <t>2x Alkohol + 1x Wodorosty + 1x Aloe meda + 1x Trawa dusicielska -&gt; 1x</t>
  </si>
  <si>
    <t>Proch ziołowy: Różowy</t>
  </si>
  <si>
    <t>2x Alkohol + 1x Kwitnąca wiśnia + 1x Pnącza alzif + 1x Kwiat byliny -&gt; 1x</t>
  </si>
  <si>
    <t>Proch ziołowy: Pomarańczowy</t>
  </si>
  <si>
    <t>2x Alkohol + 1x Sitowie + 1x Szyszka + 1x Purchawka -&gt; 1x</t>
  </si>
  <si>
    <t>Proch ziołowy: Człowiek</t>
  </si>
  <si>
    <t>1x Dobry alkohol + 1x Liść bananowca + 1x Kwiat rissa + 1x Motyl królewski -&gt; 1x</t>
  </si>
  <si>
    <t>Proch ziołowy: Elf</t>
  </si>
  <si>
    <t>1x Dobry alkohol + 1x Kwiat tulipanu + 1x Płonące pnącza + 1x Żmijowiec -&gt; 1x</t>
  </si>
  <si>
    <t>Proch ziołowy: Krasnolud</t>
  </si>
  <si>
    <t>1x Dobry alkohol + 1x Krasnoludzki mech + 1x Lodowe prętki + 1x Żniwiarz pustynny -&gt; 1x</t>
  </si>
  <si>
    <t>Proch ziołowy: Jaszczurolud</t>
  </si>
  <si>
    <t>1x Dobry alkohol + 1x Prętki doragafury + 1x Tatarak płaski + 1x Mieczokrzew -&gt; 1x</t>
  </si>
  <si>
    <t>Proch ziołowy: Światło</t>
  </si>
  <si>
    <t>2x Mocny alkohol + 1x Mieczokrzew + 1x Tatarak płaski + 1x Liść bananowca -&gt; 1x</t>
  </si>
  <si>
    <t>Proch ziołowy: Boskość</t>
  </si>
  <si>
    <t>2x Mocny alkohol + 1x Motyl królewski + 1x Prętki doragafury + 1x Kwiat tulipanu -&gt; 1x</t>
  </si>
  <si>
    <t>Proch ziołowy: Ciemność</t>
  </si>
  <si>
    <t>2x Mocny alkohol + 1x Krasnoludzki mech + 1x Żmijowiec + 1x Lodowe prętki -&gt; 1x</t>
  </si>
  <si>
    <t>Proch ziołowy: Demon</t>
  </si>
  <si>
    <t>2x Mocny alkohol + 1x Płonące pnącza + 1x Żniwiarz pustynny + 1x Kwiat rissa -&gt; 1x</t>
  </si>
  <si>
    <t>Proch ziołowy: Ogień</t>
  </si>
  <si>
    <t>1x Perfekcyjny alkohol + 1x Piekielna róża + 1x Lwie krokusy + 1x Czarna wdowa -&gt; 1x</t>
  </si>
  <si>
    <t>Proch ziołowy: Powietrze</t>
  </si>
  <si>
    <t>1x Perfekcyjny alkohol + 1x Księżycowy grzyb + 1x Casisa elficka + 1x Złota koniczyna -&gt; 1x</t>
  </si>
  <si>
    <t>Proch ziołowy: Woda</t>
  </si>
  <si>
    <t>1x Perfekcyjny alkohol + 1x Szafran błękitny + 1x Owoc mizuki + 1x Kwiat jamali -&gt; 1x</t>
  </si>
  <si>
    <t>Proch ziołowy: Ziemia</t>
  </si>
  <si>
    <t>1x Perfekcyjny alkohol + 1x Serce gór + 1x Każraniec + 1x Skarabeusz królewski -&gt; 1x</t>
  </si>
  <si>
    <t>Mała dusza Szkieleta Zabójcy</t>
  </si>
  <si>
    <t>Przekuwanie arcydzieł z Szkieleta Zabójcy</t>
  </si>
  <si>
    <t>Zwykła dusza Szkieleta Zabójcy</t>
  </si>
  <si>
    <t>Silna dusza Szkieleta Zabójcy</t>
  </si>
  <si>
    <t>Potężna dusza Szkieleta Zabójcy</t>
  </si>
  <si>
    <t>Mała dusza Ducha Umarłego Króla</t>
  </si>
  <si>
    <t>Przekuwanie arcydzieł z Ducha Umarłego Króla</t>
  </si>
  <si>
    <t>Zwykła dusza Ducha Umarłego Króla</t>
  </si>
  <si>
    <t>Silna dusza Ducha Umarłego Króla</t>
  </si>
  <si>
    <t>Potężna dusza Ducha Umarłego Króla</t>
  </si>
  <si>
    <t>Mała dusza Zarażonego Enta</t>
  </si>
  <si>
    <t>Przekuwanie arcydzieł z Zarażonego Enta</t>
  </si>
  <si>
    <t>Torba Zarażonego Enta</t>
  </si>
  <si>
    <t>Zwykła dusza Zarażonego Enta</t>
  </si>
  <si>
    <t>Silna dusza Zarażonego Enta</t>
  </si>
  <si>
    <t>Potężna dusza Zarażonego Enta</t>
  </si>
  <si>
    <t>Mała dusza Przywódcy Bandytów</t>
  </si>
  <si>
    <t>Przekuwanie arcydzieł z Przywódcy Bandytów</t>
  </si>
  <si>
    <t>Torba Przywódcy Bandytów</t>
  </si>
  <si>
    <t>Zwykła dusza Przywódcy Bandytów</t>
  </si>
  <si>
    <t>Silna dusza Przywódcy Bandytów</t>
  </si>
  <si>
    <t>Potężna dusza Przywódcy Bandytów</t>
  </si>
  <si>
    <t>Mała dusza Demonicznego Jarla</t>
  </si>
  <si>
    <t>Przekuwanie arcydzieł z Demonicznego Jarla</t>
  </si>
  <si>
    <t>Torba Demonicznego Jarla</t>
  </si>
  <si>
    <t>Zwykła dusza Demonicznego Jarla</t>
  </si>
  <si>
    <t>Silna dusza Demonicznego Jarla</t>
  </si>
  <si>
    <t>Potężna dusza Demonicznego Jarla</t>
  </si>
  <si>
    <t>Mała dusza Cerbera</t>
  </si>
  <si>
    <t>Przekuwanie arcydzieł z Cerbera</t>
  </si>
  <si>
    <t>Torba Cerbera</t>
  </si>
  <si>
    <t>Zwykła dusza Cerbera</t>
  </si>
  <si>
    <t>Silna dusza Cerbera</t>
  </si>
  <si>
    <t>Potężna dusza Cerbera</t>
  </si>
  <si>
    <t>Mała dusza Alfa-Rekina</t>
  </si>
  <si>
    <t>Przekuwanie arcydzieł z Alfa-Rekina</t>
  </si>
  <si>
    <t>Zwykła dusza Alfa-Rekina</t>
  </si>
  <si>
    <t>Silna dusza Alfa-Rekina</t>
  </si>
  <si>
    <t>Potężna dusza Alfa-Rekina</t>
  </si>
  <si>
    <t>Mała dusza Kapitana Piratów</t>
  </si>
  <si>
    <t>Przekuwanie arcydzieł z Kapitana Piratów</t>
  </si>
  <si>
    <t>Zwykła dusza Kapitana Piratów</t>
  </si>
  <si>
    <t>Silna dusza Kapitana Piratów</t>
  </si>
  <si>
    <t>Potężna dusza Kapitana Piratów</t>
  </si>
  <si>
    <t>Mała dusza Przywódcy Awazarów</t>
  </si>
  <si>
    <t>Przekuwanie arcydzieł z Przywódcy Awazarów</t>
  </si>
  <si>
    <t>Torba Przywódcy Awazarów</t>
  </si>
  <si>
    <t>Zwykła dusza Przywódcy Awazarów</t>
  </si>
  <si>
    <t>Silna dusza Przywódcy Awazarów</t>
  </si>
  <si>
    <t>Potężna dusza Przywódcy Awazarów</t>
  </si>
  <si>
    <t>Mała dusza Jeźdźca Alfa-Skorpiona</t>
  </si>
  <si>
    <t>Przekuwanie arcydzieł z Jeźdźca Alfa-Skorpiona</t>
  </si>
  <si>
    <t>Torba Jeźdźca Alfa-Skorpiona</t>
  </si>
  <si>
    <t>Zwykła dusza Jeźdźca Alfa-Skorpiona</t>
  </si>
  <si>
    <t>Silna dusza Jeźdźca Alfa-Skorpiona</t>
  </si>
  <si>
    <t>Potężna dusza Jeźdźca Alfa-Skorpiona</t>
  </si>
  <si>
    <t>Mała dusza Hierofanta</t>
  </si>
  <si>
    <t>Przekuwanie arcydzieł z Hierofanta</t>
  </si>
  <si>
    <t>Torba Hierofanta</t>
  </si>
  <si>
    <t>Zwykła dusza Hierofanta</t>
  </si>
  <si>
    <t>Silna dusza Hierofanta</t>
  </si>
  <si>
    <t>Potężna dusza Hierofanta</t>
  </si>
  <si>
    <t>Mała dusza Jawy</t>
  </si>
  <si>
    <t>Przekuwanie arcydzieł z Jawy</t>
  </si>
  <si>
    <t>Torba Jawy</t>
  </si>
  <si>
    <t>Zwykła dusza Jawy</t>
  </si>
  <si>
    <t>Silna dusza Jawy</t>
  </si>
  <si>
    <t>Potężna dusza Jawy</t>
  </si>
  <si>
    <t>Mała dusza Berserka Skruszonej Czaszki</t>
  </si>
  <si>
    <t>Przekuwanie arcydzieł z Berserka Skruszonej Czaszki</t>
  </si>
  <si>
    <t>Torba Berserka Skruszonej Czaszki</t>
  </si>
  <si>
    <t>Zwykła dusza Berserka Skruszonej Czaszki</t>
  </si>
  <si>
    <t>Silna dusza Berserka Skruszonej Czaszki</t>
  </si>
  <si>
    <t>Potężna dusza Berserka Skruszonej Czaszki</t>
  </si>
  <si>
    <t>Mała dusza Wiwerny</t>
  </si>
  <si>
    <t>Przekuwanie arcydzieł z Wiwerny</t>
  </si>
  <si>
    <t>Zwykła dusza Wiwerny</t>
  </si>
  <si>
    <t>Silna dusza Wiwerny</t>
  </si>
  <si>
    <t>Potężna dusza Wiwerny</t>
  </si>
  <si>
    <t>Mała dusza Bagnistego Enta</t>
  </si>
  <si>
    <t>Przekuwanie arcydzieł z Bagnistego Enta</t>
  </si>
  <si>
    <t>Zwykła dusza Bagnistego Enta</t>
  </si>
  <si>
    <t>Silna dusza Bagnistego Enta</t>
  </si>
  <si>
    <t>Potężna dusza Bagnistego Enta</t>
  </si>
  <si>
    <t>Mała dusza Ludożernej Rośliny</t>
  </si>
  <si>
    <t>Przekuwanie arcydzieł z Ludożernej Rośliny</t>
  </si>
  <si>
    <t>Zwykła dusza Ludożernej Rośliny</t>
  </si>
  <si>
    <t>Silna dusza Ludożernej Rośliny</t>
  </si>
  <si>
    <t>Potężna dusza Ludożernej Rośliny</t>
  </si>
  <si>
    <t>Słaby alkohol</t>
  </si>
  <si>
    <t>Tworzenie i napełnianie mikstur, Prochy ziołowe</t>
  </si>
  <si>
    <t>Alkohol</t>
  </si>
  <si>
    <t>Dobry alkohol</t>
  </si>
  <si>
    <t>Mocny alkohol</t>
  </si>
  <si>
    <t>Perfekcyjny alkohol</t>
  </si>
  <si>
    <t>Słaby proch strzelniczy</t>
  </si>
  <si>
    <t>Tworzenie i napełnianie bomb</t>
  </si>
  <si>
    <t>Proch strzelniczy</t>
  </si>
  <si>
    <t>Dobry proch strzelniczy</t>
  </si>
  <si>
    <t>Mocny proch strzelniczy</t>
  </si>
  <si>
    <t>Perfekcyjny proch strzelniczy</t>
  </si>
  <si>
    <t>Bandaż</t>
  </si>
  <si>
    <t>Zatrzymuje krwawienie i zwiększa odporność na krwawienie o 30% na 3 tury</t>
  </si>
  <si>
    <t>1x Alkohol + 2x Dowolna tkanina  -&gt; 1x Bandaż</t>
  </si>
  <si>
    <t>Antidotum</t>
  </si>
  <si>
    <t>Zatrzymuje truciznę i zwiększa odporność na truciznę o 30% na 3 tury</t>
  </si>
  <si>
    <t>1x Alkohol + 4x Dowolne zioło + 4x Dowolne zioło -&gt; 1x Antidotum</t>
  </si>
  <si>
    <t>Sucha Szmatka</t>
  </si>
  <si>
    <t>Zatrzymuje podpalenie i zwiększa odporność na ogień o 30% na 3 tury</t>
  </si>
  <si>
    <t>4x Dowolna tkanina -&gt; 1x Sucha szmatka</t>
  </si>
  <si>
    <t>Mikstura Oczyszczenia</t>
  </si>
  <si>
    <t>Zdejmuje wszystkie efekty innych mikstur</t>
  </si>
  <si>
    <t>1x Dobry alkohol + 1x Proch ziołowy: Światło</t>
  </si>
  <si>
    <t>Lity wapień</t>
  </si>
  <si>
    <t>Wapienny kamień galdurytu</t>
  </si>
  <si>
    <t>Runotwórstwo</t>
  </si>
  <si>
    <t>Lity granit</t>
  </si>
  <si>
    <t>Granitowy kamień galdurytu</t>
  </si>
  <si>
    <t>Lity marmur</t>
  </si>
  <si>
    <t>Marmurowy kamień galdurytu</t>
  </si>
  <si>
    <t>Mniejsze galduryty (poziom 20)</t>
  </si>
  <si>
    <t>1x Lity wapień -&gt; 2x Wapienny kamień galdurytu</t>
  </si>
  <si>
    <t>Zwykłe galduryty (poziom 40)</t>
  </si>
  <si>
    <t>1x Lity granit -&gt; 2x Granitowy kamień galdurytu</t>
  </si>
  <si>
    <t>Większe galduryty (poziom 50)</t>
  </si>
  <si>
    <t>1x Lity marmur -&gt; 2x Marmurowy kamień galdurytu</t>
  </si>
  <si>
    <t>Granat</t>
  </si>
  <si>
    <t>Czerwony proch</t>
  </si>
  <si>
    <t>Koścista torba zasobów</t>
  </si>
  <si>
    <t>Szafir</t>
  </si>
  <si>
    <t>Niebieski proch</t>
  </si>
  <si>
    <t>Morska torba zasobów</t>
  </si>
  <si>
    <t>Ametyst</t>
  </si>
  <si>
    <t>Purpurowy proch</t>
  </si>
  <si>
    <t>Świątynna torba zasobów</t>
  </si>
  <si>
    <t>Cytryn</t>
  </si>
  <si>
    <t>Cytrynowy proch</t>
  </si>
  <si>
    <t>Pustynna torba zasobów</t>
  </si>
  <si>
    <t>Szmaragd</t>
  </si>
  <si>
    <t>Szmaragdowy proch</t>
  </si>
  <si>
    <t>Leśna torba zasobów</t>
  </si>
  <si>
    <t>Onyks</t>
  </si>
  <si>
    <t>Czarny proch</t>
  </si>
  <si>
    <t>Demoniczna torba zasobów</t>
  </si>
  <si>
    <t>Rubin</t>
  </si>
  <si>
    <t>Różowy proch</t>
  </si>
  <si>
    <t>Bagienna torba zasobów</t>
  </si>
  <si>
    <t>Diament</t>
  </si>
  <si>
    <t>Biały proch</t>
  </si>
  <si>
    <t>Górska torba zasobów</t>
  </si>
  <si>
    <t>Topaz</t>
  </si>
  <si>
    <t>Złoty proch</t>
  </si>
  <si>
    <t>Leśna torba zasobów, Demoniczna torba zasobów, Bagienna torba zasobów, Górska torba zasobów</t>
  </si>
  <si>
    <t>Bursztyn</t>
  </si>
  <si>
    <t>Bursztynowy proch</t>
  </si>
  <si>
    <t>Koścista torba zasobów, Morska torba zasobów, Pustynna torba zasobów, Świątynna torba zasobów</t>
  </si>
  <si>
    <t>Czerwony proszek</t>
  </si>
  <si>
    <t>1x Granat -&gt; 2x Czerwony proszek</t>
  </si>
  <si>
    <t>Skondensowany czerwony proszek</t>
  </si>
  <si>
    <t>1x Czerwony proszek + 1x Sproszkowany metal lvl 21</t>
  </si>
  <si>
    <t>Magiczny czerwony proszek</t>
  </si>
  <si>
    <t>1x Czerwony proszek + 1x Sproszkowany metal lvl 41 -&gt; 4x</t>
  </si>
  <si>
    <t>Niebieski proszek</t>
  </si>
  <si>
    <t>1x Szafir -&gt; 2x Niebieski proszek</t>
  </si>
  <si>
    <t>Skondensowany niebieski proszek</t>
  </si>
  <si>
    <t>1x Niebieski proszek + 1x Sproszkowany metal lvl 21 -&gt; 2x</t>
  </si>
  <si>
    <t>Magiczny niebieski proszek</t>
  </si>
  <si>
    <t>1x Niebieski proszek + 1x Sproszkowany metal lvl 41 -&gt; 4x</t>
  </si>
  <si>
    <t>Purpurowy proszek</t>
  </si>
  <si>
    <t>1x Ametyst -&gt; 2x Purpurowy proszek</t>
  </si>
  <si>
    <t>Skondensowany purpurowy proszek</t>
  </si>
  <si>
    <t>1x Purpurowy proszek + 1x Sproszkowany metal lvl 21</t>
  </si>
  <si>
    <t>Magiczny purpurowy proszek</t>
  </si>
  <si>
    <t>1x Purpurowy proszek + 1x Sproszkowany metal lvl 41</t>
  </si>
  <si>
    <t>Cytrynowy proszek</t>
  </si>
  <si>
    <t>1x Cytryn -&gt; 2x Cytrynowy proszek</t>
  </si>
  <si>
    <t>Skondensowany cytrynowy proszek</t>
  </si>
  <si>
    <t>1x Cytrynowy proszek + 1x Sproszkowany metal lvl 21</t>
  </si>
  <si>
    <t>Magiczny cytrynowy proszek</t>
  </si>
  <si>
    <t>1x Cytrynowy proszek + 1x Sproszkowany metal lvl 41</t>
  </si>
  <si>
    <t>Szmaragdowy proszek</t>
  </si>
  <si>
    <t>1x Szmaragd -&gt; 2x Szmaragdowy proszek</t>
  </si>
  <si>
    <t>Skondensowany szmaragdowy proszek</t>
  </si>
  <si>
    <t>1x Szmaragdowy proszek + 1x Sproszkowany metal lvl 21</t>
  </si>
  <si>
    <t>Magiczny szmaragdowy proszek</t>
  </si>
  <si>
    <t>1x Szmaragdowy proszek + 1x Sproszkowany metal lvl 41</t>
  </si>
  <si>
    <t>Czarny proszek</t>
  </si>
  <si>
    <t>1x Onyks -&gt; 2x Czarny proszek</t>
  </si>
  <si>
    <t>Skondensowany czarny proszek</t>
  </si>
  <si>
    <t>1x Czarny proszek + 1x Sproszkowany metal lvl 21</t>
  </si>
  <si>
    <t>Magiczny czarny proszek</t>
  </si>
  <si>
    <t>4x Czarny proszek + 1x Sproszkowany metal lvl 41</t>
  </si>
  <si>
    <t>Różowy proszek</t>
  </si>
  <si>
    <t>1x Rubin -&gt; 2x Różowy proszek</t>
  </si>
  <si>
    <t>Skondensowany różowy proszek</t>
  </si>
  <si>
    <t>1x Różowy proszek + 1x Sproszkowany metal lvl 21</t>
  </si>
  <si>
    <t>Magiczny różowy proszek</t>
  </si>
  <si>
    <t>1x Różowy proszek + 1x Sproszkowany metal lvl 41</t>
  </si>
  <si>
    <t>Biały proszek</t>
  </si>
  <si>
    <t>1x Diament -&gt; 2x Biały proszek</t>
  </si>
  <si>
    <t>Skondensowany biały proszek</t>
  </si>
  <si>
    <t>1x Biały proszek + 1x Sproszkowany metal lvl 21</t>
  </si>
  <si>
    <t>Magiczny biały proszek</t>
  </si>
  <si>
    <t>1x Biały proszek + 1x Sproszkowany metal lvl 41</t>
  </si>
  <si>
    <t>Złoty proszek</t>
  </si>
  <si>
    <t>1x Topaz -&gt; 2x Złoty proszek</t>
  </si>
  <si>
    <t>Skondensowany złoty proszek</t>
  </si>
  <si>
    <t>1x Złoty proszek + 1x Sproszkowany metal lvl 21</t>
  </si>
  <si>
    <t>Magiczny złoty proszek</t>
  </si>
  <si>
    <t>1x Złoty proszek + 1x Sproszkowany metal lvl 41</t>
  </si>
  <si>
    <t>Bursztynowy proszek</t>
  </si>
  <si>
    <t>1x Bursztyn -&gt; 2x Bursztynowy proszek</t>
  </si>
  <si>
    <t>Skondensowany bursztynowy proszek</t>
  </si>
  <si>
    <t>1x Bursztynowy proszek + 1x Sproszkowany metal lvl 21</t>
  </si>
  <si>
    <t>Magiczny bursztynowy proszek</t>
  </si>
  <si>
    <t>1x Bursztynowy proszek + 1x Sproszkowany metal lvl 41</t>
  </si>
  <si>
    <t>Materiały</t>
  </si>
  <si>
    <t>Potwory w katakumbach</t>
  </si>
  <si>
    <t>Nagroda</t>
  </si>
  <si>
    <t>Potwory w lesie</t>
  </si>
  <si>
    <t>Potwory w elfich ruinach</t>
  </si>
  <si>
    <t>Potwory w dokach</t>
  </si>
  <si>
    <t>Potwory na pustyni</t>
  </si>
  <si>
    <t>Potwory w świątyni</t>
  </si>
  <si>
    <t>Potwory w górach</t>
  </si>
  <si>
    <t>Potwory na bagnach</t>
  </si>
  <si>
    <t>Torba z Brońmi</t>
  </si>
  <si>
    <t>Bronie</t>
  </si>
  <si>
    <t>Potwory w lochach</t>
  </si>
  <si>
    <t>Torba z Pancerzami</t>
  </si>
  <si>
    <t>Pancerze</t>
  </si>
  <si>
    <t>Torba z Ofensywnymi Galdurytami</t>
  </si>
  <si>
    <t>Ofensywne Galduryty</t>
  </si>
  <si>
    <t>Torba z Defensywnymi Galdurytami</t>
  </si>
  <si>
    <t>Defensywne Galduryty</t>
  </si>
  <si>
    <t>Rzadkie przedmioty</t>
  </si>
  <si>
    <t>Szkielet Zabójca</t>
  </si>
  <si>
    <t>Duch Umarłego Króla</t>
  </si>
  <si>
    <t>Zarażony Ent</t>
  </si>
  <si>
    <t>Przywódca Bandytów</t>
  </si>
  <si>
    <t>Cerber</t>
  </si>
  <si>
    <t>Demoniczny Jarl</t>
  </si>
  <si>
    <t>Alfa-Rekin</t>
  </si>
  <si>
    <t>Kapitan Piratów</t>
  </si>
  <si>
    <t>Przywódca Awazarów</t>
  </si>
  <si>
    <t>Jeździec Alfa-Skorpiona</t>
  </si>
  <si>
    <t>Torba Hierofanty</t>
  </si>
  <si>
    <t>Hierofanta</t>
  </si>
  <si>
    <t>Jawa</t>
  </si>
  <si>
    <t>Berserk Skruszonej Czaszki</t>
  </si>
  <si>
    <t>Wiwerna</t>
  </si>
  <si>
    <t>Bagnisty Ent</t>
  </si>
  <si>
    <t>Ludożerna Roślina</t>
  </si>
  <si>
    <t>Nazwa torby</t>
  </si>
  <si>
    <t>Źródło</t>
  </si>
  <si>
    <t>Łup</t>
  </si>
  <si>
    <t>Kategoria</t>
  </si>
  <si>
    <t>Poziom</t>
  </si>
  <si>
    <t>Koszt</t>
  </si>
  <si>
    <t>21-30</t>
  </si>
  <si>
    <t>31-40</t>
  </si>
  <si>
    <t>41-50</t>
  </si>
  <si>
    <t>A)</t>
  </si>
  <si>
    <t>80% jeden z: Słaby alkohol (1-2)</t>
  </si>
  <si>
    <t>80% jeden z: Alkohol (1-2)</t>
  </si>
  <si>
    <t>80% jeden z: Dobry alkohol (1-2)</t>
  </si>
  <si>
    <t>80% jeden z: Mocny alkohol (1-2)</t>
  </si>
  <si>
    <t>80% jeden z: Perfekcyjny alkohol (1-2)</t>
  </si>
  <si>
    <t>B)</t>
  </si>
  <si>
    <t>100% jeden z: Ruda żelaza (3-5), Skóra kozy (1-3), Drewno modrzewiowe (1-2), Włókno bawełny (3-4), Czerwony pył energetyczny (1-2)</t>
  </si>
  <si>
    <t>100% jeden z: Ruda żelaza (3-5), Skóra jelenia (1-2), Drewno brzozowe (1-2), Włókno palmy (3-4), Żółty pył energetyczny (1-2)</t>
  </si>
  <si>
    <t>100% jeden z: Ruda srebra (3-5), Skóra trolla (1-2), Drewno wiązowe (1-2), Włókno srebrnoszponu (3-4), Zielony pył energetyczny (1-2)</t>
  </si>
  <si>
    <t>100% jeden z: Ruda srebra (3-5), Skóra wilka (1-3), Drewno dębowe (1-2), Włókno konopii (3-4), Niebieski pył energetyczny (1-2)</t>
  </si>
  <si>
    <t>100% jeden z: Ruda adamantium (3-5), Skóra piekielnego ogara (1-3), Drewno czarnodębowe (1-2), Włókno jedwabiu (3-4), Fioletowy pył energetyczny (1-2)</t>
  </si>
  <si>
    <t>C)</t>
  </si>
  <si>
    <t>70% jeden z: Ruda żelaza (3-5), Skóra kozy (1-3), Drewno modrzewiowe (1-2), Włókno bawełny (3-4), Czerwony pył energetyczny (1-2); inny niż B</t>
  </si>
  <si>
    <t>70% jeden z: Ruda żelaza (3-5), Skóra jelenia (1-2), Drewno brzozowe (1-2), Włókno palmy (3-4), Żółty pył energetyczny (1-2); inny niż B</t>
  </si>
  <si>
    <t>70% jeden z: Ruda srebra (3-5), Skóra trolla (1-2), Drewno wiązowe (1-2), Włókno srebrnoszponu (3-4), Zielony pył energetyczny (1-2); inny niż B</t>
  </si>
  <si>
    <t>70% jeden z: Ruda srebra (3-5), Skóra wilka (1-3), Drewno dębowe (1-2), Włókno konopii (3-4), Niebieski pył energetyczny (1-2); inny niż B</t>
  </si>
  <si>
    <t>70% jeden z: Ruda adamantium (3-5), Skóra piekielnego ogara (1-3), Drewno czarnodębowe (1-2), Włókno jedwabiu (3-4), Fioletowy pył energetyczny (1-2); inny niż B</t>
  </si>
  <si>
    <t>D)</t>
  </si>
  <si>
    <t>30% jeden z: Ruda żelaza (3-5), Skóra kozy (1-3), Drewno modrzewiowe (1-2), Włókno bawełny (3-4), Czerwony pył energetyczny (1-2); inny niż B i C</t>
  </si>
  <si>
    <t>30% jeden z: Ruda żelaza (3-5), Skóra jelenia (1-2), Drewno brzozowe (1-2), Włókno palmy (3-4), Żółty pył energetyczny (1-2); inny niż B i C</t>
  </si>
  <si>
    <t>30% jeden z: Ruda srebra (3-5), Skóra trolla (1-2), Drewno wiązowe (1-2), Włókno srebrnoszponu (3-4), Zielony pył energetyczny (1-2); inny niż B i C</t>
  </si>
  <si>
    <t>30% jeden z: Ruda srebra (3-5), Skóra wilka (1-3), Drewno dębowe (1-2), Włókno konopii (3-4), Niebieski pył energetyczny (1-2); inny niż B i C</t>
  </si>
  <si>
    <t>30% jeden z: Ruda adamantium (3-5), Skóra piekielnego ogara (1-3), Drewno czarnodębowe (1-2), Włókno jedwabiu (3-4), Fioletowy pył energetyczny (1-2); inny niż B i C</t>
  </si>
  <si>
    <t>E)</t>
  </si>
  <si>
    <t>-</t>
  </si>
  <si>
    <t>80% jeden z: Węgiel (2-3)</t>
  </si>
  <si>
    <t>80% jeden z: Księżycowy pył (2-3)</t>
  </si>
  <si>
    <t>100% jeden z: Zielona pleśń (1-3), Purchawka (1-3)</t>
  </si>
  <si>
    <t>100% jeden z: Kwiat zmornicy (1-3), Prętki czarnodzwonu (1-3)</t>
  </si>
  <si>
    <t>100% jeden z: Płatki śnieżnicy (1-3), Łodyga erreby (1-3)</t>
  </si>
  <si>
    <t>F)</t>
  </si>
  <si>
    <t>40% jeden z: Zielona pleśń (1-3), Purchawka (1-3), inny niż E</t>
  </si>
  <si>
    <t>40% jeden z: Kwiat zmornicy (1-3), Prętki czarnodzwonu (1-3), inny niż E</t>
  </si>
  <si>
    <t>40% jeden z: Płatki śnieżnicy (1-3), Łodyga erreby (1-3), inny niż E</t>
  </si>
  <si>
    <t>G)</t>
  </si>
  <si>
    <t>60% jeden z: Lity wapień (1-2)</t>
  </si>
  <si>
    <t>60% jeden z: Lity granit (1-2)</t>
  </si>
  <si>
    <t>60% jeden z: Lity marmur (1-2)</t>
  </si>
  <si>
    <t>H)</t>
  </si>
  <si>
    <t>30% jeden z: Granat (1-2)</t>
  </si>
  <si>
    <t>I)</t>
  </si>
  <si>
    <t>15% jeden z: Bursztyn (1)</t>
  </si>
  <si>
    <t>J)</t>
  </si>
  <si>
    <t>40% jeden z: Kość szkieleta (1-2), Mózg umarlaka (1-2)</t>
  </si>
  <si>
    <t>K)</t>
  </si>
  <si>
    <t>30% jeden z: Ektoplazma (1), Pazur ghula (1)</t>
  </si>
  <si>
    <t>100% jeden z: Ruda niklu (3-5), Skóra dzikiego psa (2-5), Drewno lipowe (1-2), Włókno bukominy (3-4), Czerwony pył energetyczny (1-2)</t>
  </si>
  <si>
    <t>100% jeden z: Ruda niklu (3-5), Skóra jelenia (1-2), Drewno brzozowe (1-2), Włókno palmy (3-4), Żółty pył energetyczny (1-2)</t>
  </si>
  <si>
    <t>100% jeden z: Ruda srebra (3-5), Skóra niedźwiedzia (1-2), Drewno grabowe (1-2), Włókno lnu (3-4), Zielony pył energetyczny (1-2)</t>
  </si>
  <si>
    <t>100% jeden z: Ruda srebra (3-5), Skóra skorpiona (2-5), Drewno sekwojowe (1-2), Włókno utumeny (3-4), Niebieski pył energetyczny (1-2)</t>
  </si>
  <si>
    <t>100% jeden z: Ruda nefolitu (3-5), Skóra gryfa (1-2), Drewno leszczynowe (1-2), Włókno obarysu (3-4), Fioletowy pył energetyczny (1-2)</t>
  </si>
  <si>
    <t>70% jeden z: Ruda niklu (3-5), Skóra dzikiego psa (2-5), Drewno lipowe (1-2), Włókno bukominy (3-4), Czerwony pył energetyczny (1-2); inny niż B</t>
  </si>
  <si>
    <t>70% jeden z: Ruda niklu (3-5), Skóra jelenia (1-2), Drewno brzozowe (1-2), Włókno palmy (3-4), Żółty pył energetyczny (1-2); inny niż B</t>
  </si>
  <si>
    <t>70% jeden z: Ruda srebra (3-5), Skóra niedźwiedzia (1-2), Drewno grabowe (1-2), Włókno lnu (3-4), Zielony pył energetyczny (1-2); inny niż B</t>
  </si>
  <si>
    <t>70% jeden z: Ruda srebra (3-5), Skóra skorpiona (2-5), Drewno sekwojowe (1-2), Włókno utumeny (3-4), Niebieski pył energetyczny (1-2); inny niż B</t>
  </si>
  <si>
    <t>70% jeden z: Ruda nefolitu (3-5), Skóra gryfa (1-2), Drewno leszczynowe (1-2), Włókno obarysu (3-4), Fioletowy pył energetyczny (1-2); inny niż B</t>
  </si>
  <si>
    <t>30% jeden z: Ruda niklu (3-5), Skóra dzikiego psa (2-5), Drewno lipowe (1-2), Włókno bukominy (3-4), Czerwony pył energetyczny (1-2); inny niż B i C</t>
  </si>
  <si>
    <t>30% jeden z: Ruda niklu (3-5), Skóra jelenia (1-2), Drewno brzozowe (1-2), Włókno palmy (3-4), Żółty pył energetyczny (1-2); inny niż B i C</t>
  </si>
  <si>
    <t>30% jeden z: Ruda srebra (3-5), Skóra niedźwiedzia (1-2), Drewno grabowe (1-2), Włókno lnu (3-4), Zielony pył energetyczny (1-2); inny niż B i C</t>
  </si>
  <si>
    <t>30% jeden z: Ruda srebra (3-5), Skóra skorpiona (2-5), Drewno sekwojowe (1-2), Włókno utumeny (3-4), Niebieski pył energetyczny (1-2); inny niż B i C</t>
  </si>
  <si>
    <t>30% jeden z: Ruda nefolitu (3-5), Skóra gryfa (1-2), Drewno leszczynowe (1-2), Włókno obarysu (3-4), Fioletowy pył energetyczny (1-2); inny niż B i C</t>
  </si>
  <si>
    <t>80% jeden z: Odłamek meteorytu (2-3)</t>
  </si>
  <si>
    <t>80% jeden z: Rutyl (3-4)</t>
  </si>
  <si>
    <t>100% jeden z: Kora brzozy (1-3), Nasiona czystka (1-3)</t>
  </si>
  <si>
    <t>100% jeden z: Owoc urnury (1-3), Kwiat meleny (1-3)</t>
  </si>
  <si>
    <t>100% jeden z: Liść eklaroi (1-3), Owoc elfickiej cykorii (1-3)</t>
  </si>
  <si>
    <t>40% jeden z: Kora brzozy (1-3), Nasiona czystka (1-3), inny niż E</t>
  </si>
  <si>
    <t>40% jeden z: Owoc urnury (1-3), Kwiat meleny (1-3), inny niż E</t>
  </si>
  <si>
    <t>40% jeden z: Liść eklaroi (1-3), Owoc elfickiej cykorii (1-3), inny niż E</t>
  </si>
  <si>
    <t>30% jeden z: Szmaragd (1-2)</t>
  </si>
  <si>
    <t>15% jeden z: Topaz (1)</t>
  </si>
  <si>
    <t>40% jeden z: Ucho elfa (1-2), Zarażona żywica (1-2)</t>
  </si>
  <si>
    <t>30% jeden z: Kieł wilka (1), Palec bandyty (1)</t>
  </si>
  <si>
    <t>100% jeden z: Ruda cyny (3-5), Skóra lisa (2-5), Drewno olchowe (1-2), Włókno juty (3-4), Czerwony pył energetyczny (1-2)</t>
  </si>
  <si>
    <t>100% jeden z: Ruda cyny (3-5), Skóra tygrysa (1-2), Drewno głógowe (1-2), Włókno owczej wełny (3-4), Żółty pył energetyczny (1-2)</t>
  </si>
  <si>
    <t>100% jeden z: Ruda annodytu (3-5), Skóra aligatora (1-2), Drewno bzowe (1-2), Włókno meleny (3-4), Zielony pył energetyczny (1-2)</t>
  </si>
  <si>
    <t>100% jeden z: Ruda annodytu (3-5), Skóra geparda (1-2), Drewno jodłowe (1-2), Włókno trójprętu (3-4), Niebieski pył energetyczny (1-2)</t>
  </si>
  <si>
    <t>100% jeden z: Ruda orihalcum (3-5), Skóra piekielnego ogara (1-3), Drewno czarnodębowe (1-2), Włókno jedwabiu (3-4), Fioletowy pył energetyczny (1-2)</t>
  </si>
  <si>
    <t>70% jeden z: Ruda cyny (3-5), Skóra lisa (2-5), Drewno olchowe (1-2), Włókno juty (3-4), Czerwony pył energetyczny (1-2); inny niż B</t>
  </si>
  <si>
    <t>70% jeden z: Ruda cyny (3-5), Skóra tygrysa (1-2), Drewno głógowe (1-2), Włókno owczej wełny (3-4), Żółty pył energetyczny (1-2); inny niż B</t>
  </si>
  <si>
    <t>70% jeden z: Ruda annodytu (3-5), Skóra aligatora (1-2), Drewno bzowe (1-2), Włókno meleny (3-4), Zielony pył energetyczny (1-2); inny niż B</t>
  </si>
  <si>
    <t>70% jeden z: Ruda annodytu (3-5), Skóra geparda (1-2), Drewno jodłowe (1-2), Włókno trójprętu (3-4), Niebieski pył energetyczny (1-2); inny niż B</t>
  </si>
  <si>
    <t>70% jeden z: Ruda orihalcum (3-5), Skóra piekielnego ogara (1-3), Drewno czarnodębowe (1-2), Włókno jedwabiu (3-4), Fioletowy pył energetyczny (1-2); inny niż B</t>
  </si>
  <si>
    <t>30% jeden z: Ruda cyny (3-5), Skóra lisa (2-5), Drewno olchowe (1-2), Włókno juty (3-4), Czerwony pył energetyczny (1-2); inny niż B i C</t>
  </si>
  <si>
    <t>30% jeden z: Ruda cyny (3-5), Skóra tygrysa (1-2), Drewno głógowe (1-2), Włókno owczej wełny (3-4), Żółty pył energetyczny (1-2); inny niż B i C</t>
  </si>
  <si>
    <t>30% jeden z: Ruda annodytu (3-5), Skóra aligatora (1-2), Drewno bzowe (1-2), Włókno meleny (3-4), Zielony pył energetyczny (1-2); inny niż B i C</t>
  </si>
  <si>
    <t>30% jeden z: Ruda annodytu (3-5), Skóra geparda (1-2), Drewno jodłowe (1-2), Włókno trójprętu (3-4), Niebieski pył energetyczny (1-2); inny niż B i C</t>
  </si>
  <si>
    <t>30% jeden z: Ruda orihalcum (3-5), Skóra piekielnego ogara (1-3), Drewno czarnodębowe (1-2), Włókno jedwabiu (3-4), Fioletowy pył energetyczny (1-2); inny niż B i C</t>
  </si>
  <si>
    <t>80% jeden z: Kawałek cynku (3-4)</t>
  </si>
  <si>
    <t>100% jeden z: Kwiat kapturnicy (1-3), Owoc jemioły (1-3)</t>
  </si>
  <si>
    <t>100% jeden z: Kwiat trójprętu (1-3), Korzeń zenitu (1-3)</t>
  </si>
  <si>
    <t>100% jeden z: Nasiona piekielnej rzeżuchy (1-3), Nasiona piekielnicy (1-3)</t>
  </si>
  <si>
    <t>40% jeden z: Kwiat kapturnicy (1-3), Owoc jemioły (1-3), inny niż E</t>
  </si>
  <si>
    <t>40% jeden z: Kwiat trójprętu (1-3), Korzeń zenitu (1-3), inny niż E</t>
  </si>
  <si>
    <t>40% jeden z: Nasiona piekielnej rzeżuchy (1-3), Nasiona piekielnicy (1-3), inny niż E</t>
  </si>
  <si>
    <t>30% jeden z: Onyks (1-2)</t>
  </si>
  <si>
    <t>40% jeden z: Róg demona (1-2), Sierść ogara (1-2)</t>
  </si>
  <si>
    <t>30% jeden z: Macka oka (1), Kieł ogara (1)</t>
  </si>
  <si>
    <t>100% jeden z: Ruda niklu (3-5), Skóra dzika (2-3), Drewno cyprysowe (1-2), Włókno lamiej wełny (3-4), Żółty pył energetyczny (1-2)</t>
  </si>
  <si>
    <t>100% jeden z: Ruda kobaltu (3-5), Skóra aligatora (1-2), Drewno świerkowe (1-2), Włókno wielbłądziej wełny (3-4), Zielony pył energetyczny (1-2)</t>
  </si>
  <si>
    <t>100% jeden z: Ruda kobaltu (3-5), Skóra bawoła (1-2), Drewno bukowe (1-2), Włókno juki (3-4), Niebieski pył energetyczny (1-2)</t>
  </si>
  <si>
    <t>100% jeden z: Ruda cifilmu (3-5), Skóra gryfa (1-2), Drewno leszczynowe (1-2), Włókno obarysu (3-4), Fioletowy pył energetyczny (1-2)</t>
  </si>
  <si>
    <t>70% jeden z: Ruda niklu (3-5), Skóra dzika (2-3), Drewno cyprysowe (1-2), Włókno lamiej wełny (3-4), Żółty pył energetyczny (1-2); inny niż B</t>
  </si>
  <si>
    <t>70% jeden z: Ruda kobaltu (3-5), Skóra aligatora (1-2), Drewno świerkowe (1-2), Włókno wielbłądziej wełny (3-4), Zielony pył energetyczny (1-2); inny niż B</t>
  </si>
  <si>
    <t>70% jeden z: Ruda kobaltu (3-5), Skóra bawoła (1-2), Drewno bukowe (1-2), Włókno juki (3-4), Niebieski pył energetyczny (1-2); inny niż B</t>
  </si>
  <si>
    <t>70% jeden z: Ruda cifilmu (3-5), Skóra gryfa (1-2), Drewno leszczynowe (1-2), Włókno obarysu (3-4), Fioletowy pył energetyczny (1-2); inny niż B</t>
  </si>
  <si>
    <t>30% jeden z: Ruda niklu (3-5), Skóra dzika (2-3), Drewno cyprysowe (1-2), Włókno lamiej wełny (3-4), Żółty pył energetyczny (1-2); inny niż B i C</t>
  </si>
  <si>
    <t>30% jeden z: Ruda kobaltu (3-5), Skóra aligatora (1-2), Drewno świerkowe (1-2), Włókno wielbłądziej wełny (3-4), Zielony pył energetyczny (1-2); inny niż B i C</t>
  </si>
  <si>
    <t>30% jeden z: Ruda kobaltu (3-5), Skóra bawoła (1-2), Drewno bukowe (1-2), Włókno juki (3-4), Niebieski pył energetyczny (1-2); inny niż B i C</t>
  </si>
  <si>
    <t>30% jeden z: Ruda cifilmu (3-5), Skóra gryfa (1-2), Drewno leszczynowe (1-2), Włókno obarysu (3-4), Fioletowy pył energetyczny (1-2); inny niż B i C</t>
  </si>
  <si>
    <t>80% jeden z: Chrom (2-3)</t>
  </si>
  <si>
    <t>80% jeden z: Rutyl (1-3)</t>
  </si>
  <si>
    <t>100% jeden z: Prętki nagietka (1-3), Kwiat kozłka lekarskiego (1-3)</t>
  </si>
  <si>
    <t>100% jeden z: Płatki śnieżysęku (1-3), Płatki srebrnoszponu (1-3)</t>
  </si>
  <si>
    <t>100% jeden z: Owoc podwodnicy (1-3), Oceaniczny mech (1-3)</t>
  </si>
  <si>
    <t>40% jeden z: Prętki nagietka (1-3), Kwiat kozłka lekarskiego (1-3), inny niż E</t>
  </si>
  <si>
    <t>40% jeden z: Płatki śnieżysęku (1-3), Płatki srebrnoszponu (1-3), inny niż E</t>
  </si>
  <si>
    <t>40% jeden z: Owoc podwodnicy (1-3), Oceaniczny mech (1-3), inny niż E</t>
  </si>
  <si>
    <t>30% jeden z: Szafir (1-2)</t>
  </si>
  <si>
    <t>40% jeden z: Oko pirata (1-2), Pióro ptaka (1-2)</t>
  </si>
  <si>
    <t>30% jeden z: Błyszczący piasek (1), Płetwa rekina (1)</t>
  </si>
  <si>
    <t>100% jeden z: Ruda żelaza (3-5), Skóra dzika (2-3), Drewno cyprysowe (1-2), Włókno lamiej wełny (3-4), Żółty pył energetyczny (1-2)</t>
  </si>
  <si>
    <t>100% jeden z: Ruda kobaltu (3-5), Skóra trolla (1-2), Drewno wiązowe (1-2), Włókno srebrnoszponu (3-4), Zielony pył energetyczny (1-2)</t>
  </si>
  <si>
    <t>100% jeden z: Ruda kobaltu (3-5), Skóra skorpiona (2-5), Drewno sekwojowe (1-2), Włókno utumeny (3-4), Niebieski pył energetyczny (1-2)</t>
  </si>
  <si>
    <t>100% jeden z: Ruda adamantium (3-5), Skóra wiwerny (1), Drewno hebanowe (1-2), Włókno wiskozy (3-4), Fioletowy pył energetyczny (1-2)</t>
  </si>
  <si>
    <t>70% jeden z: Ruda żelaza (3-5), Skóra dzika (2-3), Drewno cyprysowe (1-2), Włókno lamiej wełny (3-4), Żółty pył energetyczny (1-2); inny niż B</t>
  </si>
  <si>
    <t>70% jeden z: Ruda kobaltu (3-5), Skóra trolla (1-2), Drewno wiązowe (1-2), Włókno srebrnoszponu (3-4), Zielony pył energetyczny (1-2); inny niż B</t>
  </si>
  <si>
    <t>70% jeden z: Ruda kobaltu (3-5), Skóra skorpiona (2-5), Drewno sekwojowe (1-2), Włókno utumeny (3-4), Niebieski pył energetyczny (1-2); inny niż B</t>
  </si>
  <si>
    <t>70% jeden z: Ruda adamantium (3-5), Skóra wiwerny (1), Drewno hebanowe (1-2), Włókno wiskozy (3-4), Fioletowy pył energetyczny (1-2); inny niż B</t>
  </si>
  <si>
    <t>30% jeden z: Ruda żelaza (3-5), Skóra dzika (2-3), Drewno cyprysowe (1-2), Włókno lamiej wełny (3-4), Żółty pył energetyczny (1-2); inny niż B i C</t>
  </si>
  <si>
    <t>30% jeden z: Ruda kobaltu (3-5), Skóra trolla (1-2), Drewno wiązowe (1-2), Włókno srebrnoszponu (3-4), Zielony pył energetyczny (1-2); inny niż B i C</t>
  </si>
  <si>
    <t>30% jeden z: Ruda kobaltu (3-5), Skóra skorpiona (2-5), Drewno sekwojowe (1-2), Włókno utumeny (3-4), Niebieski pył energetyczny (1-2); inny niż B i C</t>
  </si>
  <si>
    <t>30% jeden z: Ruda adamantium (3-5), Skóra wiwerny (1), Drewno hebanowe (1-2), Włókno wiskozy (3-4), Fioletowy pył energetyczny (1-2); inny niż B i C</t>
  </si>
  <si>
    <t>80% jeden z: Klejnot pustyni (2-3)</t>
  </si>
  <si>
    <t>100% jeden z: Owoc dzikiej róży (1-3), Liść lubczyku (1-3)</t>
  </si>
  <si>
    <t>100% jeden z: Kora hebanowca (1-3), Owoc afantu (1-3)</t>
  </si>
  <si>
    <t>100% jeden z: Kwiat udreony (1-3), Korzeń obarysu (1-3)</t>
  </si>
  <si>
    <t>40% jeden z: Owoc dzikiej róży (1-3), Liść lubczyku (1-3), inny niż E</t>
  </si>
  <si>
    <t>40% jeden z: Kora hebanowca (1-3), Owoc afantu (1-3), inny niż E</t>
  </si>
  <si>
    <t>40% jeden z: Kwiat udreony (1-3), Korzeń obarysu (1-3), inny niż E</t>
  </si>
  <si>
    <t>30% jeden z: Cytryn (1-2)</t>
  </si>
  <si>
    <t>40% jeden z: Owoc kaktusa (1-2), Gruczoł jadowy skorpiona (1-2)</t>
  </si>
  <si>
    <t>100% jeden z: Ruda cyny (3-5), Skóra warana (1-3), Drewno cedrowe (1-2), Włókno wasminy (3-4), Żółty pył energetyczny (1-2)</t>
  </si>
  <si>
    <t>100% jeden z: Ruda złota (3-5), Skóra aligatora (1-2), Drewno świerkowe (1-2), Włókno wielbłądziej wełny (3-4), Zielony pył energetyczny (1-2)</t>
  </si>
  <si>
    <t>100% jeden z: Ruda złota (3-5), Skóra geparda (1-2), Drewno jodłowe (1-2), Włókno trójprętu (3-4), Niebieski pył energetyczny (1-2)</t>
  </si>
  <si>
    <t>100% jeden z: Ruda cifilmu (3-5), Skóra wiwerny (1), Drewno hebanowe (1-2), Włókno wiskozy (3-4), Fioletowy pył energetyczny (1-2)</t>
  </si>
  <si>
    <t>70% jeden z: Ruda cyny (3-5), Skóra warana (1-3), Drewno cedrowe (1-2), Włókno wasminy (3-4), Żółty pył energetyczny (1-2); inny niż B</t>
  </si>
  <si>
    <t>70% jeden z: Ruda złota (3-5), Skóra aligatora (1-2), Drewno świerkowe (1-2), Włókno wielbłądziej wełny (3-4), Zielony pył energetyczny (1-2); inny niż B</t>
  </si>
  <si>
    <t>70% jeden z: Ruda złota (3-5), Skóra geparda (1-2), Drewno jodłowe (1-2), Włókno trójprętu (3-4), Niebieski pył energetyczny (1-2); inny niż B</t>
  </si>
  <si>
    <t>70% jeden z: Ruda cifilmu (3-5), Skóra wiwerny (1), Drewno hebanowe (1-2), Włókno wiskozy (3-4), Fioletowy pył energetyczny (1-2); inny niż B</t>
  </si>
  <si>
    <t>30% jeden z: Ruda cyny (3-5), Skóra warana (1-3), Drewno cedrowe (1-2), Włókno wasminy (3-4), Żółty pył energetyczny (1-2); inny niż B i C</t>
  </si>
  <si>
    <t>30% jeden z: Ruda złota (3-5), Skóra aligatora (1-2), Drewno świerkowe (1-2), Włókno wielbłądziej wełny (3-4), Zielony pył energetyczny (1-2); inny niż B i C</t>
  </si>
  <si>
    <t>30% jeden z: Ruda złota  (3-5), Skóra geparda (1-2), Drewno jodłowe (1-2), Włókno trójprętu (3-4), Niebieski pył energetyczny (1-2); inny niż B i C</t>
  </si>
  <si>
    <t>30% jeden z: Ruda cifilmu (3-5), Skóra wiwerny (1), Drewno hebanowe (1-2), Włókno wiskozy (3-4), Fioletowy pył energetyczny (1-2); inny niż B i C</t>
  </si>
  <si>
    <t>100% jeden z: Korzeń byliny (1-3), Liść mięty pieprzowej (1-3)</t>
  </si>
  <si>
    <t>100% jeden z: Kwiat ekirmy (1-3), Łodyga złotoogonu (1-3)</t>
  </si>
  <si>
    <t>100% jeden z: Kora zaszernicy (1-3), Piekielna sól (1-3)</t>
  </si>
  <si>
    <t>40% jeden z: Korzeń byliny (1-3), Liść mięty pieprzowej (1-3), inny niż E</t>
  </si>
  <si>
    <t>40% jeden z: Kwiat ekirmy (1-3), Łodyga złotoogonu (1-3), inny niż E</t>
  </si>
  <si>
    <t>40% jeden z: Kora zaszernicy (1-3), Piekielna sól (1-3), inny niż E</t>
  </si>
  <si>
    <t>30% jeden z: Ametyst (1-2)</t>
  </si>
  <si>
    <t>40% jeden z: Znak świątyni (1-2), Płonące serce (1-2)</t>
  </si>
  <si>
    <t>30% jeden z: Zaklęty kamień (1), Starożytna skóra (1)</t>
  </si>
  <si>
    <t>100% jeden z: Ruda miedzi (3-5), Skóra królika (3-5), Drewno topolowe (1-2), Włókno koziej wełny (3-4), Czerwony pył energetyczny (1-2)</t>
  </si>
  <si>
    <t>100% jeden z: Ruda miedzi (3-5), Skóra warana (1-3), Drewno cedrowe (1-2), Włókno wasminy (3-4), Żółty pył energetyczny (1-2)</t>
  </si>
  <si>
    <t>100% jeden z: Ruda złota (3-5), Skóra niedźwiedzia (1-2), Drewno grabowe (1-2), Włókno lnu (3-4), Zielony pył energetyczny (1-2)</t>
  </si>
  <si>
    <t>100% jeden z: Ruda złota (3-5), Skóra bawoła (1-2), Drewno bukowe (1-2), Włókno juki (3-4), Niebieski pył energetyczny (1-2)</t>
  </si>
  <si>
    <t>100% jeden z: Ruda nefolitu (3-5), Skóra smoka (1), Drewno sosnowe (1-2), Włókno tagiminy (3-4), Fioletowy pył energetyczny (1-2)</t>
  </si>
  <si>
    <t>70% jeden z: Ruda miedzi (3-5), Skóra królika (3-5), Drewno topolowe (1-2), Włókno koziej wełny (3-4), Czerwony pył energetyczny (1-2); inny niż B</t>
  </si>
  <si>
    <t>70% jeden z: Ruda miedzi (3-5), Skóra warana (1-3), Drewno cedrowe (1-2), Włókno wasminy (3-4), Żółty pył energetyczny (1-2); inny niż B</t>
  </si>
  <si>
    <t>70% jeden z: Ruda złota (3-5), Skóra niedźwiedzia (1-2), Drewno grabowe (1-2), Włókno lnu (3-4), Zielony pył energetyczny (1-2); inny niż B</t>
  </si>
  <si>
    <t>70% jeden z: Ruda złota (3-5), Skóra bawoła (1-2), Drewno bukowe (1-2), Włókno juki (3-4), Niebieski pył energetyczny (1-2); inny niż B</t>
  </si>
  <si>
    <t>70% jeden z: Ruda nefolitu (3-5), Skóra smoka (1), Drewno sosnowe (1-2), Włókno tagiminy (3-4), Fioletowy pył energetyczny (1-2); inny niż B</t>
  </si>
  <si>
    <t>30% jeden z: Ruda miedzi (3-5), Skóra królika (3-5), Drewno topolowe (1-2), Włókno koziej wełny (3-4), Czerwony pył energetyczny (1-2); inny niż B i C</t>
  </si>
  <si>
    <t>30% jeden z: Ruda miedzi (3-5), Skóra warana (1-3), Drewno cedrowe (1-2), Włókno wasminy (3-4), Żółty pył energetyczny (1-2); inny niż B i C</t>
  </si>
  <si>
    <t>30% jeden z: Ruda złota (3-5), Skóra niedźwiedzia (1-2), Drewno grabowe (1-2), Włókno lnu (3-4), Zielony pył energetyczny (1-2); inny niż B i C</t>
  </si>
  <si>
    <t>30% jeden z: Ruda złota (3-5), Skóra bawoła (1-2), Drewno bukowe (1-2), Włókno juki (3-4), Niebieski pył energetyczny (1-2); inny niż B i C</t>
  </si>
  <si>
    <t>30% jeden z: Ruda nefolitu (3-5), Skóra smoka (1), Drewno sosnowe (1-2), Włókno tagiminy (3-4), Fioletowy pył energetyczny (1-2); inny niż B i C</t>
  </si>
  <si>
    <t>80% jeden z: Sfaleryt (1-3)</t>
  </si>
  <si>
    <t>100% jeden z: Prętki dziurawca (1-3), Płatki gwiazdnicy (1-3)</t>
  </si>
  <si>
    <t>100% jeden z: Ziarno białotrawu (1-3), Kwiat jastrzębiego oka (1-3)</t>
  </si>
  <si>
    <t>100% jeden z: Kwiat lodowego kopru (1-3), Lodowa sól (1-3)</t>
  </si>
  <si>
    <t>40% jeden z: Prętki dziurawca (1-3), Płatki gwiazdnicy (1-3), inny niż E</t>
  </si>
  <si>
    <t>40% jeden z: Ziarno białotrawu (1-3), Kwiat jastrzębiego oka (1-3), inny niż E</t>
  </si>
  <si>
    <t>40% jeden z: Kwiat lodowego kopru (1-3), Lodowa sól (1-3), inny niż E</t>
  </si>
  <si>
    <t>30% jeden z: Diament (1-2)</t>
  </si>
  <si>
    <t>40% jeden z: Broda krasnoluda (1-2), Nerka trolla (1-2)</t>
  </si>
  <si>
    <t>30% jeden z: Histyna (1), Pióro gryfa (1)</t>
  </si>
  <si>
    <t>100% jeden z: Ruda miedzi (3-5), Skóra tygrysa (1-2), Drewno głógowe (1-2), Włókno owczej wełny (3-4), Żółty pył energetyczny (1-2)</t>
  </si>
  <si>
    <t>100% jeden z: Ruda annodytu (3-5), Skóra leoparda (1-2), Drewno bzowe (1-2), Włókno meleny (3-4), Zielony pył energetyczny (1-2)</t>
  </si>
  <si>
    <t>100% jeden z: Ruda annodytu (3-5), Skóra wilka (1-3), Drewno dębowe (1-2), Włókno konopii (3-4), Niebieski pył energetyczny (1-2)</t>
  </si>
  <si>
    <t>100% jeden z: Ruda orihalcum (3-5), Skóra smoka (1), Drewno sosnowe (1-2), Włókno tagiminy (3-4), Fioletowy pył energetyczny (1-2)</t>
  </si>
  <si>
    <t>70% jeden z: Ruda miedzi (3-5), Skóra tygrysa (1-2), Drewno głógowe (1-2), Włókno owczej wełny (3-4), Żółty pył energetyczny (1-2); inny niż B</t>
  </si>
  <si>
    <t>70% jeden z: Ruda annodytu (3-5), Skóra leoparda (1-2), Drewno bzowe (1-2), Włókno meleny (3-4), Zielony pył energetyczny (1-2); inny niż B</t>
  </si>
  <si>
    <t>70% jeden z: Ruda annodytu (3-5), Skóra wilka (1-3), Drewno dębowe (1-2), Włókno konopii (3-4), Niebieski pył energetyczny (1-2); inny niż B</t>
  </si>
  <si>
    <t>70% jeden z: Ruda orihalcum (3-5), Skóra smoka (1), Drewno sosnowe (1-2), Włókno tagiminy (3-4), Fioletowy pył energetyczny (1-2); inny niż B</t>
  </si>
  <si>
    <t>30% jeden z: Ruda miedzi (3-5), Skóra tygrysa (1-2), Drewno głógowe (1-2), Włókno owczej wełny (3-4), Żółty pył energetyczny (1-2); inny niż B i C</t>
  </si>
  <si>
    <t>30% jeden z: Ruda annodytu (3-5), Skóra leoparda (1-2), Drewno bzowe (1-2), Włókno meleny (3-4), Zielony pył energetyczny (1-2); inny niż B i C</t>
  </si>
  <si>
    <t>30% jeden z: Ruda annodytu (3-5), Skóra wilka (1-3), Drewno dębowe (1-2), Włókno konopii (3-4), Niebieski pył energetyczny (1-2); inny niż B i C</t>
  </si>
  <si>
    <t>30% jeden z: Ruda orihalcum (3-5), Skóra smoka (1), Drewno sosnowe (1-2), Włókno tagiminy (3-4), Fioletowy pył energetyczny (1-2); inny niż B i C</t>
  </si>
  <si>
    <t>100% jeden z: Kwiat rumianku (1-3), Liść nerecznicy (1-3)</t>
  </si>
  <si>
    <t>100% jeden z: Nasiona tracindy (1-3), Liść różoliściu (1-3)</t>
  </si>
  <si>
    <t>100% jeden z: Liść klamey (1-3), Łodyga bagiennego kopru (1-3)</t>
  </si>
  <si>
    <t>40% jeden z: Kwiat rumianku (1-3), Liść nerecznicy (1-3), inny niż E</t>
  </si>
  <si>
    <t>40% jeden z: Nasiona tracindy (1-3), Liść różoliściu (1-3), inny niż E</t>
  </si>
  <si>
    <t>40% jeden z: Liść klamey (1-3), Łodyga bagiennego kopru (1-3), inny niż E</t>
  </si>
  <si>
    <t>30% jeden z: Rubin (1-2)</t>
  </si>
  <si>
    <t>40% jeden z: Żyjący liść (1-2), Błoto (1-2)</t>
  </si>
  <si>
    <t>30% jeden z: Ssawka komara (1), Skóra topielca (1)</t>
  </si>
  <si>
    <t>Wszystkie potwory</t>
  </si>
  <si>
    <t xml:space="preserve">100% jeden z: Losowa Słaba Broń na poziom 5 (1), Losowa Broń na poziom 5 (1), Losowa Doskonała Broń na poziom 5 (1), </t>
  </si>
  <si>
    <t xml:space="preserve">100% jeden z: Losowa Słaba Broń na poziom 15 (1), Losowa Broń na poziom 15 (1), Losowa Doskonała Broń na poziom 15 (1), </t>
  </si>
  <si>
    <t xml:space="preserve">100% jeden z: Losowa Słaba Broń na poziom 25 (1), Losowa Broń na poziom 25 (1), Losowa Doskonała Broń na poziom 25 (1), </t>
  </si>
  <si>
    <t xml:space="preserve">100% jeden z: Losowa Słaba Broń na poziom 35 (1), Losowa Broń na poziom 35 (1), Losowa Doskonała Broń na poziom 35 (1), </t>
  </si>
  <si>
    <t xml:space="preserve">100% jeden z: Losowa Słaba Broń na poziom 45 (1), Losowa Broń na poziom 45 (1), Losowa Doskonała Broń na poziom 45 (1), </t>
  </si>
  <si>
    <t xml:space="preserve">80% jeden z: Losowa Słaba Broń na poziom 5 (1), Losowa Broń na poziom 5 (1), Losowa Doskonała Broń na poziom 5 (1), </t>
  </si>
  <si>
    <t xml:space="preserve">80% jeden z: Losowa Słaba Broń na poziom 15 (1), Losowa Broń na poziom 15 (1), Losowa Doskonała Broń na poziom 15 (1), </t>
  </si>
  <si>
    <t xml:space="preserve">80% jeden z: Losowa Słaba Broń na poziom 25 (1), Losowa Broń na poziom 25 (1), Losowa Doskonała Broń na poziom 25 (1), </t>
  </si>
  <si>
    <t xml:space="preserve">80% jeden z: Losowa Słaba Broń na poziom 35 (1), Losowa Broń na poziom 35 (1), Losowa Doskonała Broń na poziom 35 (1), </t>
  </si>
  <si>
    <t xml:space="preserve">80% jeden z: Losowa Słaba Broń na poziom 45 (1), Losowa Broń na poziom 45 (1), Losowa Doskonała Broń na poziom 45 (1), </t>
  </si>
  <si>
    <t xml:space="preserve">50% jeden z: Losowa Słaba Broń na poziom 5 (1), Losowa Broń na poziom 5 (1), Losowa Doskonała Broń na poziom 5 (1), </t>
  </si>
  <si>
    <t xml:space="preserve">50% jeden z: Losowa Słaba Broń na poziom 15 (1), Losowa Broń na poziom 15 (1), Losowa Doskonała Broń na poziom 15 (1), </t>
  </si>
  <si>
    <t xml:space="preserve">50% jeden z: Losowa Słaba Broń na poziom 25 (1), Losowa Broń na poziom 25 (1), Losowa Doskonała Broń na poziom 25 (1), </t>
  </si>
  <si>
    <t xml:space="preserve">50% jeden z: Losowa Słaba Broń na poziom 35 (1), Losowa Broń na poziom 35 (1), Losowa Doskonała Broń na poziom 35 (1), </t>
  </si>
  <si>
    <t xml:space="preserve">50% jeden z: Losowa Słaba Broń na poziom 45 (1), Losowa Broń na poziom 45 (1), Losowa Doskonała Broń na poziom 45 (1), </t>
  </si>
  <si>
    <t xml:space="preserve">25% jeden z: Losowa Słaba Broń na poziom 5 (1), Losowa Broń na poziom 5 (1), Losowa Doskonała Broń na poziom 5 (1), </t>
  </si>
  <si>
    <t xml:space="preserve">25% jeden z: Losowa Słaba Broń na poziom 15 (1), Losowa Broń na poziom 15 (1), Losowa Doskonała Broń na poziom 15 (1), </t>
  </si>
  <si>
    <t xml:space="preserve">25% jeden z: Losowa Słaba Broń na poziom 25 (1), Losowa Broń na poziom 25 (1), Losowa Doskonała Broń na poziom 25 (1), </t>
  </si>
  <si>
    <t xml:space="preserve">25% jeden z: Losowa Słaba Broń na poziom 35 (1), Losowa Broń na poziom 35 (1), Losowa Doskonała Broń na poziom 35 (1), </t>
  </si>
  <si>
    <t xml:space="preserve">25% jeden z: Losowa Słaba Broń na poziom 45 (1), Losowa Broń na poziom 45 (1), Losowa Doskonała Broń na poziom 45 (1), </t>
  </si>
  <si>
    <t xml:space="preserve">100% jeden z: Losowe Słabe Nakrycie Głowy na poziom 5 (1), Losowe Nakrycie Głowy na poziom 5 (1), Losowe Doskonałe Nakrycie Głowy na poziom 5 (1), Losowy Słaby Napierśnik na poziom 5 (1), Losowy Napierśnik na poziom 5 (1), Losowy Doskonały Napierśnik na poziom 5 (1), Losowe Słabe Rękawice na poziom 5 (1), Losowe Rękawice na poziom 5 (1), Losowe Doskonałe Rękawice na poziom 5 (1), Losowe Słabe Nogawice na poziom 5 (1), Losowe Nogawice na poziom 5 (1), Losowe Doskonałe Nogawice na poziom 5 (1), Losowe Słabe Buty na poziom 5 (1), Losowe Buty na poziom 5 (1), Losowe Doskonałe Buty na poziom 5 (1), </t>
  </si>
  <si>
    <t xml:space="preserve">100% jeden z: Losowe Słabe Nakrycie Głowy na poziom 15 (1), Losowe Nakrycie Głowy na poziom 15 (1), Losowe Doskonałe Nakrycie Głowy na poziom 15 (1), Losowy Słaby Napierśnik na poziom 15 (1), Losowy Napierśnik na poziom 15 (1), Losowy Doskonały Napierśnik na poziom 15 (1), Losowe Słabe Rękawice na poziom 15 (1), Losowe Rękawice na poziom 15 (1), Losowe Doskonałe Rękawice na poziom 15 (1), Losowe Słabe Nogawice na poziom 15 (1), Losowe Nogawice na poziom 15 (1), Losowe Doskonałe Nogawice na poziom 15 (1), Losowe Słabe Buty na poziom 15 (1), Losowe Buty na poziom 15 (1), Losowe Doskonałe Buty na poziom 15 (1), </t>
  </si>
  <si>
    <t xml:space="preserve">100% jeden z: Losowe Słabe Nakrycie Głowy na poziom 25 (1), Losowe Nakrycie Głowy na poziom 25 (1), Losowe Doskonałe Nakrycie Głowy na poziom 25 (1), Losowy Słaby Napierśnik na poziom 25 (1), Losowy Napierśnik na poziom 25 (1), Losowy Doskonały Napierśnik na poziom 25 (1), Losowe Słabe Rękawice na poziom 25 (1), Losowe Rękawice na poziom 25 (1), Losowe Doskonałe Rękawice na poziom 25 (1), Losowe Słabe Nogawice na poziom 25 (1), Losowe Nogawice na poziom 25 (1), Losowe Doskonałe Nogawice na poziom 25 (1), Losowe Słabe Buty na poziom 25 (1), Losowe Buty na poziom 25 (1), Losowe Doskonałe Buty na poziom 25 (1), </t>
  </si>
  <si>
    <t xml:space="preserve">100% jeden z: Losowe Słabe Nakrycie Głowy na poziom 35 (1), Losowe Nakrycie Głowy na poziom 35 (1), Losowe Doskonałe Nakrycie Głowy na poziom 35 (1), Losowy Słaby Napierśnik na poziom 35 (1), Losowy Napierśnik na poziom 35 (1), Losowy Doskonały Napierśnik na poziom 35 (1), Losowe Słabe Rękawice na poziom 35 (1), Losowe Rękawice na poziom 35 (1), Losowe Doskonałe Rękawice na poziom 35 (1), Losowe Słabe Nogawice na poziom 35 (1), Losowe Nogawice na poziom 35 (1), Losowe Doskonałe Nogawice na poziom 35 (1), Losowe Słabe Buty na poziom 35 (1), Losowe Buty na poziom 35 (1), Losowe Doskonałe Buty na poziom 35 (1), </t>
  </si>
  <si>
    <t xml:space="preserve">100% jeden z: Losowe Słabe Nakrycie Głowy na poziom 45 (1), Losowe Nakrycie Głowy na poziom 45 (1), Losowe Doskonałe Nakrycie Głowy na poziom 45 (1), Losowy Słaby Napierśnik na poziom 45 (1), Losowy Napierśnik na poziom 45 (1), Losowy Doskonały Napierśnik na poziom 45 (1), Losowe Słabe Rękawice na poziom 45 (1), Losowe Rękawice na poziom 45 (1), Losowe Doskonałe Rękawice na poziom 45 (1), Losowe Słabe Nogawice na poziom 45 (1), Losowe Nogawice na poziom 45 (1), Losowe Doskonałe Nogawice na poziom 45 (1), Losowe Słabe Buty na poziom 45 (1), Losowe Buty na poziom 45 (1), Losowe Doskonałe Buty na poziom 45 (1), </t>
  </si>
  <si>
    <t xml:space="preserve">80% jeden z: Losowe Słabe Nakrycie Głowy na poziom 5 (1), Losowe Nakrycie Głowy na poziom 5 (1), Losowe Doskonałe Nakrycie Głowy na poziom 5 (1), Losowy Słaby Napierśnik na poziom 5 (1), Losowy Napierśnik na poziom 5 (1), Losowy Doskonały Napierśnik na poziom 5 (1), Losowe Słabe Rękawice na poziom 5 (1), Losowe Rękawice na poziom 5 (1), Losowe Doskonałe Rękawice na poziom 5 (1), Losowe Słabe Nogawice na poziom 5 (1), Losowe Nogawice na poziom 5 (1), Losowe Doskonałe Nogawice na poziom 5 (1), Losowe Słabe Buty na poziom 5 (1), Losowe Buty na poziom 5 (1), Losowe Doskonałe Buty na poziom 5 (1), </t>
  </si>
  <si>
    <t xml:space="preserve">80% jeden z: Losowe Słabe Nakrycie Głowy na poziom 15 (1), Losowe Nakrycie Głowy na poziom 15 (1), Losowe Doskonałe Nakrycie Głowy na poziom 15 (1), Losowy Słaby Napierśnik na poziom 15 (1), Losowy Napierśnik na poziom 15 (1), Losowy Doskonały Napierśnik na poziom 15 (1), Losowe Słabe Rękawice na poziom 15 (1), Losowe Rękawice na poziom 15 (1), Losowe Doskonałe Rękawice na poziom 15 (1), Losowe Słabe Nogawice na poziom 15 (1), Losowe Nogawice na poziom 15 (1), Losowe Doskonałe Nogawice na poziom 15 (1), Losowe Słabe Buty na poziom 15 (1), Losowe Buty na poziom 15 (1), Losowe Doskonałe Buty na poziom 15 (1), </t>
  </si>
  <si>
    <t xml:space="preserve">80% jeden z: Losowe Słabe Nakrycie Głowy na poziom 25 (1), Losowe Nakrycie Głowy na poziom 25 (1), Losowe Doskonałe Nakrycie Głowy na poziom 25 (1), Losowy Słaby Napierśnik na poziom 25 (1), Losowy Napierśnik na poziom 25 (1), Losowy Doskonały Napierśnik na poziom 25 (1), Losowe Słabe Rękawice na poziom 25 (1), Losowe Rękawice na poziom 25 (1), Losowe Doskonałe Rękawice na poziom 25 (1), Losowe Słabe Nogawice na poziom 25 (1), Losowe Nogawice na poziom 25 (1), Losowe Doskonałe Nogawice na poziom 25 (1), Losowe Słabe Buty na poziom 25 (1), Losowe Buty na poziom 25 (1), Losowe Doskonałe Buty na poziom 25 (1), </t>
  </si>
  <si>
    <t xml:space="preserve">80% jeden z: Losowe Słabe Nakrycie Głowy na poziom 35 (1), Losowe Nakrycie Głowy na poziom 35 (1), Losowe Doskonałe Nakrycie Głowy na poziom 35 (1), Losowy Słaby Napierśnik na poziom 35 (1), Losowy Napierśnik na poziom 35 (1), Losowy Doskonały Napierśnik na poziom 35 (1), Losowe Słabe Rękawice na poziom 35 (1), Losowe Rękawice na poziom 35 (1), Losowe Doskonałe Rękawice na poziom 35 (1), Losowe Słabe Nogawice na poziom 35 (1), Losowe Nogawice na poziom 35 (1), Losowe Doskonałe Nogawice na poziom 35 (1), Losowe Słabe Buty na poziom 35 (1), Losowe Buty na poziom 35 (1), Losowe Doskonałe Buty na poziom 35 (1), </t>
  </si>
  <si>
    <t xml:space="preserve">80% jeden z: Losowe Słabe Nakrycie Głowy na poziom 45 (1), Losowe Nakrycie Głowy na poziom 45 (1), Losowe Doskonałe Nakrycie Głowy na poziom 45 (1), Losowy Słaby Napierśnik na poziom 45 (1), Losowy Napierśnik na poziom 45 (1), Losowy Doskonały Napierśnik na poziom 45 (1), Losowe Słabe Rękawice na poziom 45 (1), Losowe Rękawice na poziom 45 (1), Losowe Doskonałe Rękawice na poziom 45 (1), Losowe Słabe Nogawice na poziom 45 (1), Losowe Nogawice na poziom 45 (1), Losowe Doskonałe Nogawice na poziom 45 (1), Losowe Słabe Buty na poziom 45 (1), Losowe Buty na poziom 45 (1), Losowe Doskonałe Buty na poziom 45 (1), </t>
  </si>
  <si>
    <t xml:space="preserve">45% jeden z: Losowe Słabe Nakrycie Głowy na poziom 5 (1), Losowe Nakrycie Głowy na poziom 5 (1), Losowe Doskonałe Nakrycie Głowy na poziom 5 (1), Losowy Słaby Napierśnik na poziom 5 (1), Losowy Napierśnik na poziom 5 (1), Losowy Doskonały Napierśnik na poziom 5 (1), Losowe Słabe Rękawice na poziom 5 (1), Losowe Rękawice na poziom 5 (1), Losowe Doskonałe Rękawice na poziom 5 (1), Losowe Słabe Nogawice na poziom 5 (1), Losowe Nogawice na poziom 5 (1), Losowe Doskonałe Nogawice na poziom 5 (1), Losowe Słabe Buty na poziom 5 (1), Losowe Buty na poziom 5 (1), Losowe Doskonałe Buty na poziom 5 (1), </t>
  </si>
  <si>
    <t xml:space="preserve">45% jeden z: Losowe Słabe Nakrycie Głowy na poziom 15 (1), Losowe Nakrycie Głowy na poziom 15 (1), Losowe Doskonałe Nakrycie Głowy na poziom 15 (1), Losowy Słaby Napierśnik na poziom 15 (1), Losowy Napierśnik na poziom 15 (1), Losowy Doskonały Napierśnik na poziom 15 (1), Losowe Słabe Rękawice na poziom 15 (1), Losowe Rękawice na poziom 15 (1), Losowe Doskonałe Rękawice na poziom 15 (1), Losowe Słabe Nogawice na poziom 15 (1), Losowe Nogawice na poziom 15 (1), Losowe Doskonałe Nogawice na poziom 15 (1), Losowe Słabe Buty na poziom 15 (1), Losowe Buty na poziom 15 (1), Losowe Doskonałe Buty na poziom 15 (1), </t>
  </si>
  <si>
    <t xml:space="preserve">45% jeden z: Losowe Słabe Nakrycie Głowy na poziom 25 (1), Losowe Nakrycie Głowy na poziom 25 (1), Losowe Doskonałe Nakrycie Głowy na poziom 25 (1), Losowy Słaby Napierśnik na poziom 25 (1), Losowy Napierśnik na poziom 25 (1), Losowy Doskonały Napierśnik na poziom 25 (1), Losowe Słabe Rękawice na poziom 25 (1), Losowe Rękawice na poziom 25 (1), Losowe Doskonałe Rękawice na poziom 25 (1), Losowe Słabe Nogawice na poziom 25 (1), Losowe Nogawice na poziom 25 (1), Losowe Doskonałe Nogawice na poziom 25 (1), Losowe Słabe Buty na poziom 25 (1), Losowe Buty na poziom 25 (1), Losowe Doskonałe Buty na poziom 25 (1), </t>
  </si>
  <si>
    <t xml:space="preserve">45% jeden z: Losowe Słabe Nakrycie Głowy na poziom 35 (1), Losowe Nakrycie Głowy na poziom 35 (1), Losowe Doskonałe Nakrycie Głowy na poziom 35 (1), Losowy Słaby Napierśnik na poziom 35 (1), Losowy Napierśnik na poziom 35 (1), Losowy Doskonały Napierśnik na poziom 35 (1), Losowe Słabe Rękawice na poziom 35 (1), Losowe Rękawice na poziom 35 (1), Losowe Doskonałe Rękawice na poziom 35 (1), Losowe Słabe Nogawice na poziom 35 (1), Losowe Nogawice na poziom 35 (1), Losowe Doskonałe Nogawice na poziom 35 (1), Losowe Słabe Buty na poziom 35 (1), Losowe Buty na poziom 35 (1), Losowe Doskonałe Buty na poziom 35 (1), </t>
  </si>
  <si>
    <t xml:space="preserve">45% jeden z: Losowe Słabe Nakrycie Głowy na poziom 45 (1), Losowe Nakrycie Głowy na poziom 45 (1), Losowe Doskonałe Nakrycie Głowy na poziom 45 (1), Losowy Słaby Napierśnik na poziom 45 (1), Losowy Napierśnik na poziom 45 (1), Losowy Doskonały Napierśnik na poziom 45 (1), Losowe Słabe Rękawice na poziom 45 (1), Losowe Rękawice na poziom 45 (1), Losowe Doskonałe Rękawice na poziom 45 (1), Losowe Słabe Nogawice na poziom 45 (1), Losowe Nogawice na poziom 45 (1), Losowe Doskonałe Nogawice na poziom 45 (1), Losowe Słabe Buty na poziom 45 (1), Losowe Buty na poziom 45 (1), Losowe Doskonałe Buty na poziom 45 (1), </t>
  </si>
  <si>
    <t xml:space="preserve">25% jeden z: Losowe Słabe Nakrycie Głowy na poziom 5 (1), Losowe Nakrycie Głowy na poziom 5 (1), Losowe Doskonałe Nakrycie Głowy na poziom 5 (1), Losowy Słaby Napierśnik na poziom 5 (1), Losowy Napierśnik na poziom 5 (1), Losowy Doskonały Napierśnik na poziom 5 (1), Losowe Słabe Rękawice na poziom 5 (1), Losowe Rękawice na poziom 5 (1), Losowe Doskonałe Rękawice na poziom 5 (1), Losowe Słabe Nogawice na poziom 5 (1), Losowe Nogawice na poziom 5 (1), Losowe Doskonałe Nogawice na poziom 5 (1), Losowe Słabe Buty na poziom 5 (1), Losowe Buty na poziom 5 (1), Losowe Doskonałe Buty na poziom 5 (1), </t>
  </si>
  <si>
    <t xml:space="preserve">25% jeden z: Losowe Słabe Nakrycie Głowy na poziom 15 (1), Losowe Nakrycie Głowy na poziom 15 (1), Losowe Doskonałe Nakrycie Głowy na poziom 15 (1), Losowy Słaby Napierśnik na poziom 15 (1), Losowy Napierśnik na poziom 15 (1), Losowy Doskonały Napierśnik na poziom 15 (1), Losowe Słabe Rękawice na poziom 15 (1), Losowe Rękawice na poziom 15 (1), Losowe Doskonałe Rękawice na poziom 15 (1), Losowe Słabe Nogawice na poziom 15 (1), Losowe Nogawice na poziom 15 (1), Losowe Doskonałe Nogawice na poziom 15 (1), Losowe Słabe Buty na poziom 15 (1), Losowe Buty na poziom 15 (1), Losowe Doskonałe Buty na poziom 15 (1), </t>
  </si>
  <si>
    <t xml:space="preserve">25% jeden z: Losowe Słabe Nakrycie Głowy na poziom 25 (1), Losowe Nakrycie Głowy na poziom 25 (1), Losowe Doskonałe Nakrycie Głowy na poziom 25 (1), Losowy Słaby Napierśnik na poziom 25 (1), Losowy Napierśnik na poziom 25 (1), Losowy Doskonały Napierśnik na poziom 25 (1), Losowe Słabe Rękawice na poziom 25 (1), Losowe Rękawice na poziom 25 (1), Losowe Doskonałe Rękawice na poziom 25 (1), Losowe Słabe Nogawice na poziom 25 (1), Losowe Nogawice na poziom 25 (1), Losowe Doskonałe Nogawice na poziom 25 (1), Losowe Słabe Buty na poziom 25 (1), Losowe Buty na poziom 25 (1), Losowe Doskonałe Buty na poziom 25 (1), </t>
  </si>
  <si>
    <t xml:space="preserve">25% jeden z: Losowe Słabe Nakrycie Głowy na poziom 35 (1), Losowe Nakrycie Głowy na poziom 35 (1), Losowe Doskonałe Nakrycie Głowy na poziom 35 (1), Losowy Słaby Napierśnik na poziom 35 (1), Losowy Napierśnik na poziom 35 (1), Losowy Doskonały Napierśnik na poziom 35 (1), Losowe Słabe Rękawice na poziom 35 (1), Losowe Rękawice na poziom 35 (1), Losowe Doskonałe Rękawice na poziom 35 (1), Losowe Słabe Nogawice na poziom 35 (1), Losowe Nogawice na poziom 35 (1), Losowe Doskonałe Nogawice na poziom 35 (1), Losowe Słabe Buty na poziom 35 (1), Losowe Buty na poziom 35 (1), Losowe Doskonałe Buty na poziom 35 (1), </t>
  </si>
  <si>
    <t xml:space="preserve">25% jeden z: Losowe Słabe Nakrycie Głowy na poziom 45 (1), Losowe Nakrycie Głowy na poziom 45 (1), Losowe Doskonałe Nakrycie Głowy na poziom 45 (1), Losowy Słaby Napierśnik na poziom 45 (1), Losowy Napierśnik na poziom 45 (1), Losowy Doskonały Napierśnik na poziom 45 (1), Losowe Słabe Rękawice na poziom 45 (1), Losowe Rękawice na poziom 45 (1), Losowe Doskonałe Rękawice na poziom 45 (1), Losowe Słabe Nogawice na poziom 45 (1), Losowe Nogawice na poziom 45 (1), Losowe Doskonałe Nogawice na poziom 45 (1), Losowe Słabe Buty na poziom 45 (1), Losowe Buty na poziom 45 (1), Losowe Doskonałe Buty na poziom 45 (1), </t>
  </si>
  <si>
    <t>100% jeden z: Losowy Ofensywny Galduryt na poziom 20</t>
  </si>
  <si>
    <t>100% jeden z: Losowy Ofensywny Galduryt na poziom 40</t>
  </si>
  <si>
    <t>100% jeden z: Losowy Ofensywny Galduryt na poziom 50</t>
  </si>
  <si>
    <t>80% jeden z: Losowy Ofensywny Galduryt na poziom 20</t>
  </si>
  <si>
    <t>80% jeden z: Losowy Ofensywny Galduryt na poziom 40</t>
  </si>
  <si>
    <t>80% jeden z: Losowy Ofensywny Galduryt na poziom 50</t>
  </si>
  <si>
    <t>55% jeden z: Losowy Ofensywny Galduryt na poziom 20</t>
  </si>
  <si>
    <t>55% jeden z: Losowy Ofensywny Galduryt na poziom 40</t>
  </si>
  <si>
    <t>55% jeden z: Losowy Ofensywny Galduryt na poziom 50</t>
  </si>
  <si>
    <t>40% jeden z: Losowy Ofensywny Galduryt na poziom 20</t>
  </si>
  <si>
    <t>40% jeden z: Losowy Ofensywny Galduryt na poziom 40</t>
  </si>
  <si>
    <t>50% jeden z: Losowy Ofensywny Galduryt na poziom 50</t>
  </si>
  <si>
    <t>25% jeden z: Losowy Ofensywny Galduryt na poziom 20</t>
  </si>
  <si>
    <t>25% jeden z: Losowy Ofensywny Galduryt na poziom 40</t>
  </si>
  <si>
    <t>25% jeden z: Losowy Ofensywny Galduryt na poziom 50</t>
  </si>
  <si>
    <t>100% jeden z: Losowy Defensywny Galduryt na poziom 20</t>
  </si>
  <si>
    <t>100% jeden z: Losowy Defensywny Galduryt na poziom 40</t>
  </si>
  <si>
    <t>100% jeden z: Losowy Defensywny Galduryt na poziom 50</t>
  </si>
  <si>
    <t>80% jeden z: Losowy Defensywny Galduryt na poziom 20</t>
  </si>
  <si>
    <t>80% jeden z: Losowy Defensywny Galduryt na poziom 40</t>
  </si>
  <si>
    <t>80% jeden z: Losowy Defensywny Galduryt na poziom 50</t>
  </si>
  <si>
    <t>55% jeden z: Losowy Defensywny Galduryt na poziom 20</t>
  </si>
  <si>
    <t>55% jeden z: Losowy Defensywny Galduryt na poziom 40</t>
  </si>
  <si>
    <t>55% jeden z: Losowy Defensywny Galduryt na poziom 50</t>
  </si>
  <si>
    <t>40% jeden z: Losowy Defensywny Galduryt na poziom 20</t>
  </si>
  <si>
    <t>40% jeden z: Losowy Defensywny Galduryt na poziom 40</t>
  </si>
  <si>
    <t>50% jeden z: Losowy Defensywny Galduryt na poziom 50</t>
  </si>
  <si>
    <t>25% jeden z: Losowy Defensywny Galduryt na poziom 20</t>
  </si>
  <si>
    <t>25% jeden z: Losowy Defensywny Galduryt na poziom 40</t>
  </si>
  <si>
    <t>25% jeden z: Losowy Defensywny Galduryt na poziom 50</t>
  </si>
  <si>
    <t>30% jeden z: Drop broń lvl 10, Drop pancerz lvl 10</t>
  </si>
  <si>
    <t>30% jeden z: Drop broń lvl 20, Drop pancerz lvl 20</t>
  </si>
  <si>
    <t>30% jeden z: Drop broń lvl 30, Drop pancerz lvl 30</t>
  </si>
  <si>
    <t>30% jeden z: Drop broń lvl 40, Drop pancerz lvl 40</t>
  </si>
  <si>
    <t>30% jeden z: Drop broń lvl 50, Drop pancerz lvl 50</t>
  </si>
  <si>
    <t>50% jeden z: Kość zabójcy (1-2)</t>
  </si>
  <si>
    <t>60% jeden z: Granat (3-5)</t>
  </si>
  <si>
    <t>30% jeden z: Bursztyn (2-3)</t>
  </si>
  <si>
    <t xml:space="preserve">30% jeden z: Losowy Ofensywny Galduryt na poziom 20 o unikalności co najmniej 5; Losowy Defensywny Galduryt na poziom 20 o unikalności co najmniej 5 (3); </t>
  </si>
  <si>
    <t xml:space="preserve">30% jeden z: Losowy Ofensywny Galduryt na poziom 40 o unikalności co najmniej 5; Losowy Defensywny Galduryt na poziom 40 o unikalności co najmniej 5 (3); </t>
  </si>
  <si>
    <t xml:space="preserve">30% jeden z: Losowy Ofensywny Galduryt na poziom 50 o unikalności co najmniej 5; Losowy Defensywny Galduryt na poziom 50 o unikalności co najmniej 5 (3); </t>
  </si>
  <si>
    <t>20% jeden z: Mała dusza Szkieleta Zabójcy</t>
  </si>
  <si>
    <t>20% jeden z: Zwykła dusza Szkieleta Zabójcy</t>
  </si>
  <si>
    <t>20% jeden z: Silna dusza Szkieleta Zabójcy</t>
  </si>
  <si>
    <t>20% jeden z: Potężna dusza Szkieleta Zabójcy</t>
  </si>
  <si>
    <t>50% jeden z: Królewska ektoplazma (1-2)</t>
  </si>
  <si>
    <t>50% jeden z: Zarażona gałąź (1-2)</t>
  </si>
  <si>
    <t>60% jeden z: Szmaragd (3-5)</t>
  </si>
  <si>
    <t>30% jeden z: Topaz (2-3)</t>
  </si>
  <si>
    <t>75% jeden z: Sygnet bandyty (1)</t>
  </si>
  <si>
    <t>50% jeden z: Kieł cerbera (1-2)</t>
  </si>
  <si>
    <t>60% jeden z: Onyks (3-5)</t>
  </si>
  <si>
    <t>50% jeden z: Róg królewskiego demona (1-2)</t>
  </si>
  <si>
    <t>50% jeden z: Płetwa alfa-rekina (1-2)</t>
  </si>
  <si>
    <t>60% jeden z: Szafir (3-5)</t>
  </si>
  <si>
    <t>50% jeden z: Sztuczny ząb (1-2)</t>
  </si>
  <si>
    <t>75% jeden z: Maska awazara (1)</t>
  </si>
  <si>
    <t>60% jeden z: Cytryn (3-5)</t>
  </si>
  <si>
    <t>Torba Jeźdźcy Alfa-Skorpiona</t>
  </si>
  <si>
    <t>50% jeden z: Szczypce alfa-skorpiona (1-2)</t>
  </si>
  <si>
    <t>75% jeden z: Serce mnicha (1)</t>
  </si>
  <si>
    <t>60% jeden z: Ametyst (3-5)</t>
  </si>
  <si>
    <t>50% jeden z: Energia jawy (1-2)</t>
  </si>
  <si>
    <t>50% jeden z: Skóra wiwerny (1-2)</t>
  </si>
  <si>
    <t>60% jeden z: Diament (3-5)</t>
  </si>
  <si>
    <t>50% jeden z: Łuski wiwerny (1-2)</t>
  </si>
  <si>
    <t xml:space="preserve">100% jeden z: Losowy Ofensywny Galduryt na poziom 20 o unikalności co najmniej 5; Losowy Defensywny Galduryt na poziom 20 o unikalności co najmniej 5 (3); </t>
  </si>
  <si>
    <t xml:space="preserve">100% jeden z: Losowy Ofensywny Galduryt na poziom 40 o unikalności co najmniej 5; Losowy Defensywny Galduryt na poziom 40 o unikalności co najmniej 5 (3); </t>
  </si>
  <si>
    <t xml:space="preserve">100% jeden z: Losowy Ofensywny Galduryt na poziom 50 o unikalności co najmniej 5; Losowy Defensywny Galduryt na poziom 50 o unikalności co najmniej 5 (3); </t>
  </si>
  <si>
    <t>50% jeden z: Obłocona gałąź (1-2)</t>
  </si>
  <si>
    <t>60% jeden z: Rubin (3-5)</t>
  </si>
  <si>
    <t>Torba Rośliny Ludożernej</t>
  </si>
  <si>
    <t>Roślina Ludożerna</t>
  </si>
  <si>
    <t>50% jeden z: Bagienna macka (1-2)</t>
  </si>
  <si>
    <t>Efekt</t>
  </si>
  <si>
    <t>Siła (M)</t>
  </si>
  <si>
    <t>Siła</t>
  </si>
  <si>
    <t>Siła (W)</t>
  </si>
  <si>
    <t>Materiał M1</t>
  </si>
  <si>
    <t>Materiał 1</t>
  </si>
  <si>
    <t>Materiał W1</t>
  </si>
  <si>
    <t>Materiał M2</t>
  </si>
  <si>
    <t>Materiał 2</t>
  </si>
  <si>
    <t>Materiał W2</t>
  </si>
  <si>
    <t>Czas trwania</t>
  </si>
  <si>
    <t>Efekt 1</t>
  </si>
  <si>
    <t>Efekt 2</t>
  </si>
  <si>
    <t>Rzeczownik</t>
  </si>
  <si>
    <t>Il. Różnych efektów</t>
  </si>
  <si>
    <t>Typ</t>
  </si>
  <si>
    <t>Suma sił efektów</t>
  </si>
  <si>
    <t>Rozmiar</t>
  </si>
  <si>
    <t>Odnowa zdrowia</t>
  </si>
  <si>
    <t>Regeneracja zdrowia</t>
  </si>
  <si>
    <t>Zdrowia</t>
  </si>
  <si>
    <t>Mikstura</t>
  </si>
  <si>
    <t>Nikła</t>
  </si>
  <si>
    <t>Petty</t>
  </si>
  <si>
    <t>Odnowa surowca</t>
  </si>
  <si>
    <t>Odnowy</t>
  </si>
  <si>
    <t>Eliksir</t>
  </si>
  <si>
    <t>Drobna</t>
  </si>
  <si>
    <t>Tiny</t>
  </si>
  <si>
    <t>Regeneracja surowca</t>
  </si>
  <si>
    <t>Pomniejsza</t>
  </si>
  <si>
    <t>Lesser</t>
  </si>
  <si>
    <t>Zwiększenie maksymalnego surowca</t>
  </si>
  <si>
    <t>Zwiększenie obrażeń</t>
  </si>
  <si>
    <t>Większa</t>
  </si>
  <si>
    <t>Greater</t>
  </si>
  <si>
    <t>Zwiększenie obrony</t>
  </si>
  <si>
    <t>Elfickiej skóry</t>
  </si>
  <si>
    <t>Ogromna</t>
  </si>
  <si>
    <t>Huge</t>
  </si>
  <si>
    <t>Sygnet awazarów</t>
  </si>
  <si>
    <t>Odporność na ogłuszenie</t>
  </si>
  <si>
    <t>Olbrzymia</t>
  </si>
  <si>
    <t>Giant</t>
  </si>
  <si>
    <t>Odporności</t>
  </si>
  <si>
    <t>Znak świątyni</t>
  </si>
  <si>
    <t>Zwiększenie szybkości</t>
  </si>
  <si>
    <t>Złamana maska</t>
  </si>
  <si>
    <t>Krew barbarzyńcy</t>
  </si>
  <si>
    <t>Szansa krytyczna</t>
  </si>
  <si>
    <t>Unik</t>
  </si>
  <si>
    <t>PEŁNA NAZWA:</t>
  </si>
  <si>
    <t>Zwiększenie punktów akcji</t>
  </si>
  <si>
    <t>[Rozmiar] + [przymiotnik] + [Typ] + [Rzeczownik]</t>
  </si>
  <si>
    <t>np. Ogromna Lecząca Mikstura Cierpliwości</t>
  </si>
  <si>
    <t>Mikstury tworzy się u alchemików</t>
  </si>
  <si>
    <t>Katalizatory do mikstur</t>
  </si>
  <si>
    <t>Regeneracji</t>
  </si>
  <si>
    <t>Można wybrać 3 efekty mikstur, przy czym ten sam efekt może być wybrany tylko dwa razy (jedno zioło i jedna resztka)</t>
  </si>
  <si>
    <t>Siła (1 lvl)</t>
  </si>
  <si>
    <t>Materiał (1 lvl)</t>
  </si>
  <si>
    <t>Siła (2 lvl)</t>
  </si>
  <si>
    <t>Materiał (2 lvl)</t>
  </si>
  <si>
    <t>Siła (3 lvl)</t>
  </si>
  <si>
    <t>Materiał (3 lvl)</t>
  </si>
  <si>
    <t>Siła (4 lvl)</t>
  </si>
  <si>
    <t>Materiał (4 lvl)</t>
  </si>
  <si>
    <t>Siła (5 lvl)</t>
  </si>
  <si>
    <t>Materiał (5 lvl)</t>
  </si>
  <si>
    <t>Zasady:</t>
  </si>
  <si>
    <t>Można wybrać jeden katalizator do miktur</t>
  </si>
  <si>
    <t>Wydłużenie czasu działania</t>
  </si>
  <si>
    <t>+1t</t>
  </si>
  <si>
    <t>+2t</t>
  </si>
  <si>
    <t>+3t</t>
  </si>
  <si>
    <t>+4t</t>
  </si>
  <si>
    <t>+5t</t>
  </si>
  <si>
    <t>Sumujemy siły efektów</t>
  </si>
  <si>
    <t>Wytworzone mikstury mają 5 ładunków, u alchemika można napełnić jedną sztuką odpowiedniego alkoholu za każdy ładunek i jedną sztuką każdego materiału za operację</t>
  </si>
  <si>
    <t>Zwiększenie efektu</t>
  </si>
  <si>
    <t>Roślinnej skóry</t>
  </si>
  <si>
    <t>Wybieramy Rozmiar n.p. sumy</t>
  </si>
  <si>
    <t>W przypadku dwóch takich samych efektów efekt ten jest wzmacniany addytywnie</t>
  </si>
  <si>
    <t>Skondensowanie czasu działania</t>
  </si>
  <si>
    <t>-1t</t>
  </si>
  <si>
    <t>-2t</t>
  </si>
  <si>
    <t>-3t</t>
  </si>
  <si>
    <t>-4t</t>
  </si>
  <si>
    <t>-5t</t>
  </si>
  <si>
    <t>Nieugiętości</t>
  </si>
  <si>
    <t>Liczymy sumy sił poszczególnych</t>
  </si>
  <si>
    <t>Receptura: 5x Słaby/Dobry/Perfekcyjny alkohol, 3x Materiał 1, 3x Materiał 2, 3x Materiał 3, (1x Proch Ziołowy)</t>
  </si>
  <si>
    <t>Ilość ładunków</t>
  </si>
  <si>
    <t>+1</t>
  </si>
  <si>
    <t>+2</t>
  </si>
  <si>
    <t>+3</t>
  </si>
  <si>
    <t>+4</t>
  </si>
  <si>
    <t>+5</t>
  </si>
  <si>
    <t>Żywotności</t>
  </si>
  <si>
    <t>Dwie największe sumy tworzą rzeczownik</t>
  </si>
  <si>
    <t>Najmniejsza suma tworzy przymiotnik</t>
  </si>
  <si>
    <t>W przypadku ex aqueo (A&gt;B=C lub A=B=C) decyduje kolejność z listy:</t>
  </si>
  <si>
    <t>Obrażenia fizyczne</t>
  </si>
  <si>
    <t>Odnowa zdrowia, Regeneracja zdrowia, Regeneracja surowca, Zwiększenie maksymalnego surowca, Zwiększenie obrażeń, Zwiększenie obrony, Odporność na ogłuszenie, Zwiększenie szybkości, Szansa krytyczna, Unik, Zwiększenie punktów akcji</t>
  </si>
  <si>
    <t>Obrażenia magiczne</t>
  </si>
  <si>
    <t>Ducha</t>
  </si>
  <si>
    <t>Lub losowy wybór (do ustalenia)</t>
  </si>
  <si>
    <t>Krwawienie</t>
  </si>
  <si>
    <t>Zatrucie</t>
  </si>
  <si>
    <t>Podpalenie</t>
  </si>
  <si>
    <t>Orichalcumowej skóry</t>
  </si>
  <si>
    <t>Ogłuszenie</t>
  </si>
  <si>
    <t>Osłabienie obrony fizycznej</t>
  </si>
  <si>
    <t>Osłabienie obrony magicznej</t>
  </si>
  <si>
    <t>Osłabienie uniku</t>
  </si>
  <si>
    <t>Osłabienie celności</t>
  </si>
  <si>
    <t>Spowolnienie</t>
  </si>
  <si>
    <t>Zamrożenie</t>
  </si>
  <si>
    <t>Bomby tworzy się u chemików</t>
  </si>
  <si>
    <t>Katalizatory do bomb</t>
  </si>
  <si>
    <t>Cifilmowej skóry</t>
  </si>
  <si>
    <t>Można wybrać 3 efekty bomby, przy czym ten sam efekt może być wybrany tylko dwa razy (jedno zioło i jedna resztka)</t>
  </si>
  <si>
    <t>Cierpliwości</t>
  </si>
  <si>
    <t>Można wybrać jeden katalizator do bomby</t>
  </si>
  <si>
    <t>Wytworzone bomby mają 5 ładunków, mogą być napełniane u chemików prochem za opłatą</t>
  </si>
  <si>
    <t>Zwiększenie zasięgu</t>
  </si>
  <si>
    <t>Reakcji</t>
  </si>
  <si>
    <t>Receptura: 5x Słaby/Dobry/Perfekcyjny proch strzelniczy, 3x Materiał 1, 3x Materiał 2, 3x Materiał 3, (1x Proch Ziołowy)</t>
  </si>
  <si>
    <t>Płynności</t>
  </si>
  <si>
    <t>Potencjału</t>
  </si>
  <si>
    <t>Annodytowej skóry</t>
  </si>
  <si>
    <t>Zapału</t>
  </si>
  <si>
    <t>Inicjatywy</t>
  </si>
  <si>
    <t>Adamantowej skóry</t>
  </si>
  <si>
    <t>Zawziętości</t>
  </si>
  <si>
    <t>Przebicia</t>
  </si>
  <si>
    <t>Pojedynku</t>
  </si>
  <si>
    <t>Żelaznej skóry</t>
  </si>
  <si>
    <t>Kobaltowej skóry</t>
  </si>
  <si>
    <t>Srebrnej skóry</t>
  </si>
  <si>
    <t>Kryferytowej skóry</t>
  </si>
  <si>
    <t>Zwinności</t>
  </si>
  <si>
    <t>Szybkości</t>
  </si>
  <si>
    <t>Szczęścia</t>
  </si>
  <si>
    <t>Przymiotnik</t>
  </si>
  <si>
    <t>Lecząca</t>
  </si>
  <si>
    <t>Regenerująca</t>
  </si>
  <si>
    <t>Okrzepiająca</t>
  </si>
  <si>
    <t>Odświeżająca</t>
  </si>
  <si>
    <t>Wzmacniająca</t>
  </si>
  <si>
    <t>Niszcząca</t>
  </si>
  <si>
    <t>Ochronna</t>
  </si>
  <si>
    <t>Niezłomna</t>
  </si>
  <si>
    <t>Przyspieszająca</t>
  </si>
  <si>
    <t>Trafna</t>
  </si>
  <si>
    <t>Zwinna</t>
  </si>
  <si>
    <t>Dynamiczna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</si>
</sst>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
    <font>
      <sz val="10"/>
      <color rgb="FF000000"/>
      <name val="Arial"/>
    </font>
    <font>
      <sz val="10"/>
      <name val="Arial"/>
    </font>
    <font>
      <sz val="10"/>
      <name val="Arial"/>
    </font>
    <font>
      <sz val="10"/>
      <color rgb="FF000000"/>
      <name val="Arial"/>
    </font>
    <font>
      <sz val="11"/>
      <color rgb="FF000000"/>
      <name val="&quot;Aptos Narrow&quot;"/>
    </font>
  </fonts>
  <fills count="12">
    <fill>
      <patternFill patternType="none"/>
    </fill>
    <fill>
      <patternFill patternType="gray125"/>
    </fill>
    <fill>
      <patternFill patternType="solid">
        <fgColor rgb="FFFFFFFF"/>
        <bgColor rgb="FFFFFFFF"/>
      </patternFill>
    </fill>
    <fill>
      <patternFill patternType="solid">
        <fgColor rgb="FFF9CB9C"/>
        <bgColor rgb="FFF9CB9C"/>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6D9EEB"/>
        <bgColor rgb="FF6D9EEB"/>
      </patternFill>
    </fill>
    <fill>
      <patternFill patternType="solid">
        <fgColor rgb="FF8E7CC3"/>
        <bgColor rgb="FF8E7CC3"/>
      </patternFill>
    </fill>
    <fill>
      <patternFill patternType="solid">
        <fgColor rgb="FFA4C2F4"/>
        <bgColor rgb="FFA4C2F4"/>
      </patternFill>
    </fill>
    <fill>
      <patternFill patternType="solid">
        <fgColor rgb="FFC9DAF8"/>
        <bgColor rgb="FFC9DAF8"/>
      </patternFill>
    </fill>
    <fill>
      <patternFill patternType="solid">
        <fgColor rgb="FFB4A7D6"/>
        <bgColor rgb="FFB4A7D6"/>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s>
  <cellStyleXfs count="1">
    <xf numFmtId="0" fontId="0" fillId="0" borderId="0"/>
  </cellStyleXfs>
  <cellXfs count="118">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2" borderId="0" xfId="0" applyFont="1" applyFill="1" applyAlignment="1">
      <alignment vertical="center"/>
    </xf>
    <xf numFmtId="0" fontId="1" fillId="3" borderId="0" xfId="0" applyFont="1" applyFill="1" applyAlignment="1">
      <alignment vertical="center"/>
    </xf>
    <xf numFmtId="0" fontId="1" fillId="3" borderId="0" xfId="0" applyFont="1" applyFill="1" applyAlignment="1">
      <alignment vertical="center" wrapText="1"/>
    </xf>
    <xf numFmtId="0" fontId="1" fillId="4" borderId="0" xfId="0" applyFont="1" applyFill="1" applyAlignment="1">
      <alignment vertical="center"/>
    </xf>
    <xf numFmtId="0" fontId="1" fillId="4" borderId="0" xfId="0" applyFont="1" applyFill="1" applyAlignment="1">
      <alignment vertical="center" wrapText="1"/>
    </xf>
    <xf numFmtId="0" fontId="2" fillId="4"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wrapText="1"/>
    </xf>
    <xf numFmtId="0" fontId="2" fillId="4" borderId="0" xfId="0" applyFont="1" applyFill="1" applyAlignment="1">
      <alignment horizontal="right" vertical="center"/>
    </xf>
    <xf numFmtId="0" fontId="2" fillId="3" borderId="0" xfId="0" applyFont="1" applyFill="1" applyAlignment="1">
      <alignment vertical="center" wrapText="1"/>
    </xf>
    <xf numFmtId="0" fontId="2" fillId="3" borderId="0" xfId="0" applyFont="1" applyFill="1" applyAlignment="1">
      <alignment horizontal="right" vertical="center"/>
    </xf>
    <xf numFmtId="0" fontId="1" fillId="5" borderId="0" xfId="0" applyFont="1" applyFill="1" applyAlignment="1">
      <alignment vertical="center"/>
    </xf>
    <xf numFmtId="0" fontId="1" fillId="5" borderId="0" xfId="0" applyFont="1" applyFill="1" applyAlignment="1">
      <alignment vertical="center" wrapText="1"/>
    </xf>
    <xf numFmtId="0" fontId="1" fillId="6" borderId="0" xfId="0" applyFont="1" applyFill="1" applyAlignment="1">
      <alignment vertical="center"/>
    </xf>
    <xf numFmtId="0" fontId="1" fillId="6" borderId="0" xfId="0" applyFont="1" applyFill="1" applyAlignment="1">
      <alignment vertical="center" wrapText="1"/>
    </xf>
    <xf numFmtId="0" fontId="1" fillId="5" borderId="0" xfId="0" applyFont="1" applyFill="1"/>
    <xf numFmtId="0" fontId="3" fillId="5" borderId="0" xfId="0" applyFont="1" applyFill="1" applyAlignment="1">
      <alignment horizontal="left" vertical="center" wrapText="1"/>
    </xf>
    <xf numFmtId="3" fontId="3" fillId="5" borderId="0" xfId="0" applyNumberFormat="1" applyFont="1" applyFill="1" applyAlignment="1">
      <alignment horizontal="right" vertical="center"/>
    </xf>
    <xf numFmtId="0" fontId="2" fillId="7" borderId="0" xfId="0" applyFont="1" applyFill="1" applyAlignment="1">
      <alignment vertical="center"/>
    </xf>
    <xf numFmtId="0" fontId="1" fillId="8" borderId="0" xfId="0" applyFont="1" applyFill="1" applyAlignment="1">
      <alignment vertical="center"/>
    </xf>
    <xf numFmtId="0" fontId="1" fillId="5" borderId="0" xfId="0" applyFont="1" applyFill="1" applyAlignment="1">
      <alignment horizontal="left" vertical="center"/>
    </xf>
    <xf numFmtId="0" fontId="1" fillId="9" borderId="0" xfId="0" applyFont="1" applyFill="1" applyAlignment="1">
      <alignment vertical="center"/>
    </xf>
    <xf numFmtId="0" fontId="1" fillId="9" borderId="0" xfId="0" applyFont="1" applyFill="1" applyAlignment="1">
      <alignment vertical="center" wrapText="1"/>
    </xf>
    <xf numFmtId="0" fontId="1" fillId="10" borderId="0" xfId="0" applyFont="1" applyFill="1" applyAlignment="1">
      <alignment vertical="center"/>
    </xf>
    <xf numFmtId="0" fontId="1" fillId="10" borderId="0" xfId="0" applyFont="1" applyFill="1" applyAlignment="1">
      <alignment vertical="center" wrapText="1"/>
    </xf>
    <xf numFmtId="0" fontId="1" fillId="11" borderId="0" xfId="0" applyFont="1" applyFill="1" applyAlignment="1">
      <alignment vertical="center"/>
    </xf>
    <xf numFmtId="0" fontId="1" fillId="11" borderId="0" xfId="0" applyFont="1" applyFill="1" applyAlignment="1">
      <alignment vertical="center" wrapText="1"/>
    </xf>
    <xf numFmtId="0" fontId="1" fillId="0" borderId="0" xfId="0" applyFont="1"/>
    <xf numFmtId="0" fontId="1" fillId="0" borderId="0" xfId="0" applyFont="1"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164"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xf>
    <xf numFmtId="0" fontId="2" fillId="0" borderId="12" xfId="0" applyFont="1" applyBorder="1" applyAlignment="1">
      <alignment horizontal="center" vertical="center" wrapText="1"/>
    </xf>
    <xf numFmtId="0" fontId="2" fillId="0" borderId="12" xfId="0" applyFont="1" applyBorder="1" applyAlignment="1">
      <alignment horizontal="center" vertical="center"/>
    </xf>
    <xf numFmtId="0" fontId="2" fillId="0" borderId="14"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wrapText="1"/>
    </xf>
    <xf numFmtId="0" fontId="2" fillId="0" borderId="16" xfId="0" applyFont="1" applyBorder="1" applyAlignment="1">
      <alignment horizontal="center" vertical="center"/>
    </xf>
    <xf numFmtId="0" fontId="2" fillId="0" borderId="13" xfId="0" applyFont="1" applyBorder="1" applyAlignment="1">
      <alignment horizontal="center"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2" fillId="0" borderId="21" xfId="0" applyFont="1" applyBorder="1" applyAlignment="1">
      <alignment horizontal="center" vertical="center"/>
    </xf>
    <xf numFmtId="0" fontId="1" fillId="0" borderId="21" xfId="0" applyFont="1" applyBorder="1" applyAlignment="1">
      <alignment horizontal="center" vertical="center" wrapText="1"/>
    </xf>
    <xf numFmtId="0" fontId="2" fillId="0" borderId="1" xfId="0" applyFont="1" applyBorder="1" applyAlignment="1">
      <alignment horizontal="center" vertical="center"/>
    </xf>
    <xf numFmtId="0" fontId="1" fillId="0" borderId="18" xfId="0" applyFont="1" applyBorder="1" applyAlignment="1">
      <alignment horizontal="center" vertical="center" wrapText="1"/>
    </xf>
    <xf numFmtId="0" fontId="3" fillId="2" borderId="7" xfId="0" applyFont="1" applyFill="1" applyBorder="1" applyAlignment="1">
      <alignment horizontal="center" wrapText="1"/>
    </xf>
    <xf numFmtId="0" fontId="2" fillId="0" borderId="2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26" xfId="0" applyFont="1" applyBorder="1" applyAlignment="1">
      <alignment horizontal="center" vertical="center"/>
    </xf>
    <xf numFmtId="0" fontId="2" fillId="0" borderId="28" xfId="0" applyFont="1" applyBorder="1" applyAlignment="1">
      <alignment horizontal="center" vertical="center"/>
    </xf>
    <xf numFmtId="0" fontId="1" fillId="0" borderId="28"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xf numFmtId="0" fontId="4" fillId="0" borderId="0" xfId="0" applyFont="1"/>
    <xf numFmtId="9" fontId="1" fillId="0" borderId="7" xfId="0" applyNumberFormat="1" applyFont="1" applyBorder="1"/>
    <xf numFmtId="0" fontId="1" fillId="0" borderId="7" xfId="0" applyFont="1" applyBorder="1" applyAlignment="1">
      <alignment vertical="center"/>
    </xf>
    <xf numFmtId="0" fontId="1" fillId="0" borderId="7" xfId="0" applyFont="1" applyBorder="1" applyAlignment="1">
      <alignment vertical="center" wrapText="1"/>
    </xf>
    <xf numFmtId="0" fontId="1" fillId="0" borderId="7" xfId="0" applyFont="1" applyBorder="1" applyAlignment="1">
      <alignment horizontal="right"/>
    </xf>
    <xf numFmtId="0" fontId="1" fillId="0" borderId="0" xfId="0" applyFont="1" applyAlignment="1">
      <alignment horizontal="right"/>
    </xf>
    <xf numFmtId="0" fontId="4" fillId="0" borderId="0" xfId="0" applyFont="1" applyAlignment="1">
      <alignment horizontal="right"/>
    </xf>
    <xf numFmtId="9" fontId="1" fillId="0" borderId="0" xfId="0" applyNumberFormat="1" applyFont="1" applyAlignment="1">
      <alignment horizontal="right"/>
    </xf>
    <xf numFmtId="9" fontId="4" fillId="0" borderId="0" xfId="0" applyNumberFormat="1" applyFont="1"/>
    <xf numFmtId="0" fontId="1" fillId="0" borderId="7" xfId="0" applyFont="1" applyBorder="1" applyAlignment="1">
      <alignment wrapText="1"/>
    </xf>
    <xf numFmtId="9" fontId="2" fillId="0" borderId="7" xfId="0" applyNumberFormat="1" applyFont="1" applyBorder="1" applyAlignment="1">
      <alignment horizontal="right"/>
    </xf>
    <xf numFmtId="0" fontId="1" fillId="0" borderId="7" xfId="0" quotePrefix="1" applyFont="1" applyBorder="1" applyAlignment="1">
      <alignment horizontal="right"/>
    </xf>
    <xf numFmtId="9" fontId="1" fillId="0" borderId="7" xfId="0" applyNumberFormat="1" applyFont="1" applyBorder="1" applyAlignment="1">
      <alignment horizontal="right"/>
    </xf>
    <xf numFmtId="0" fontId="1" fillId="0" borderId="7" xfId="0" applyFont="1" applyBorder="1" applyAlignment="1">
      <alignment horizontal="left" vertical="center" wrapText="1"/>
    </xf>
    <xf numFmtId="3" fontId="1" fillId="0" borderId="7" xfId="0" applyNumberFormat="1" applyFont="1" applyBorder="1"/>
    <xf numFmtId="0" fontId="1" fillId="0" borderId="1" xfId="0" applyFont="1" applyBorder="1"/>
    <xf numFmtId="9" fontId="1" fillId="0" borderId="1" xfId="0" applyNumberFormat="1" applyFont="1" applyBorder="1"/>
    <xf numFmtId="0" fontId="2" fillId="0" borderId="11" xfId="0" applyFont="1" applyBorder="1" applyAlignment="1">
      <alignment horizontal="center" vertical="center" wrapText="1"/>
    </xf>
    <xf numFmtId="0" fontId="1" fillId="0" borderId="13" xfId="0" applyFont="1" applyBorder="1"/>
    <xf numFmtId="0" fontId="1" fillId="0" borderId="16" xfId="0" applyFont="1" applyBorder="1"/>
    <xf numFmtId="0" fontId="2" fillId="0" borderId="18" xfId="0" applyFont="1" applyBorder="1" applyAlignment="1">
      <alignment horizontal="center" vertical="center" wrapText="1"/>
    </xf>
    <xf numFmtId="0" fontId="1" fillId="0" borderId="5" xfId="0" applyFont="1" applyBorder="1"/>
    <xf numFmtId="0" fontId="1" fillId="0" borderId="20" xfId="0" applyFont="1" applyBorder="1"/>
    <xf numFmtId="0" fontId="2" fillId="0" borderId="25" xfId="0" applyFont="1" applyBorder="1" applyAlignment="1">
      <alignment horizontal="center" vertical="center" wrapText="1"/>
    </xf>
    <xf numFmtId="0" fontId="1" fillId="0" borderId="27" xfId="0" applyFont="1" applyBorder="1"/>
    <xf numFmtId="0" fontId="2" fillId="0" borderId="15" xfId="0" applyFont="1" applyBorder="1" applyAlignment="1">
      <alignment horizontal="center" vertical="center" wrapText="1"/>
    </xf>
    <xf numFmtId="0" fontId="1" fillId="0" borderId="15" xfId="0" applyFont="1" applyBorder="1"/>
    <xf numFmtId="0" fontId="1" fillId="0" borderId="14" xfId="0" applyFont="1" applyBorder="1"/>
    <xf numFmtId="0" fontId="1" fillId="0" borderId="8" xfId="0" applyFont="1" applyBorder="1" applyAlignment="1">
      <alignment horizontal="center" vertical="center" wrapText="1"/>
    </xf>
    <xf numFmtId="0" fontId="1" fillId="0" borderId="9" xfId="0" applyFont="1" applyBorder="1"/>
    <xf numFmtId="0" fontId="1" fillId="0" borderId="10" xfId="0" applyFont="1" applyBorder="1"/>
    <xf numFmtId="0" fontId="2" fillId="0" borderId="17" xfId="0" applyFont="1" applyBorder="1" applyAlignment="1">
      <alignment horizontal="center" vertical="center" wrapText="1"/>
    </xf>
    <xf numFmtId="0" fontId="1" fillId="0" borderId="17" xfId="0" applyFont="1" applyBorder="1"/>
    <xf numFmtId="0" fontId="2" fillId="0" borderId="13"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xf numFmtId="0" fontId="1" fillId="0" borderId="22" xfId="0" applyFont="1" applyBorder="1" applyAlignment="1">
      <alignment horizontal="center" vertical="center" wrapText="1"/>
    </xf>
    <xf numFmtId="0" fontId="1" fillId="0" borderId="12" xfId="0" applyFont="1" applyBorder="1"/>
    <xf numFmtId="0" fontId="1" fillId="0" borderId="29" xfId="0" applyFont="1" applyBorder="1" applyAlignment="1">
      <alignment horizontal="center" vertical="center" wrapText="1"/>
    </xf>
    <xf numFmtId="0" fontId="1" fillId="0" borderId="30" xfId="0" applyFont="1" applyBorder="1"/>
    <xf numFmtId="0" fontId="1" fillId="0" borderId="3" xfId="0" applyFont="1" applyBorder="1"/>
    <xf numFmtId="0" fontId="2" fillId="0" borderId="18" xfId="0" applyFont="1" applyBorder="1" applyAlignment="1">
      <alignment horizontal="center" vertical="center"/>
    </xf>
    <xf numFmtId="0" fontId="2" fillId="0" borderId="0" xfId="0" applyFont="1" applyAlignment="1">
      <alignment horizontal="center" vertical="center" wrapText="1"/>
    </xf>
    <xf numFmtId="0" fontId="0" fillId="0" borderId="0" xfId="0"/>
    <xf numFmtId="0" fontId="1" fillId="0" borderId="23" xfId="0" applyFont="1" applyBorder="1" applyAlignment="1">
      <alignment horizontal="center" vertical="center" wrapText="1"/>
    </xf>
    <xf numFmtId="0" fontId="1" fillId="0" borderId="24" xfId="0" applyFont="1" applyBorder="1"/>
    <xf numFmtId="0" fontId="3" fillId="2" borderId="2" xfId="0" applyFont="1" applyFill="1" applyBorder="1" applyAlignment="1">
      <alignment horizontal="center" wrapText="1"/>
    </xf>
    <xf numFmtId="0" fontId="1" fillId="0" borderId="1" xfId="0" applyFont="1" applyBorder="1" applyAlignment="1">
      <alignment horizontal="center" vertical="center"/>
    </xf>
    <xf numFmtId="0" fontId="1" fillId="0" borderId="6" xfId="0" applyFont="1" applyBorder="1"/>
    <xf numFmtId="0" fontId="1" fillId="0" borderId="0" xfId="0" applyFont="1" applyAlignment="1">
      <alignment horizontal="center" vertical="center"/>
    </xf>
    <xf numFmtId="0" fontId="1" fillId="0" borderId="1" xfId="0" applyFont="1" applyBorder="1" applyAlignment="1">
      <alignment horizontal="center" vertical="center" wrapText="1"/>
    </xf>
    <xf numFmtId="0" fontId="4" fillId="0" borderId="0" xfId="0" applyFont="1"/>
  </cellXfs>
  <cellStyles count="1">
    <cellStyle name="Normalny" xfId="0" builtinId="0"/>
  </cellStyles>
  <dxfs count="5">
    <dxf>
      <fill>
        <patternFill patternType="solid">
          <fgColor rgb="FFA4C2F4"/>
          <bgColor rgb="FFA4C2F4"/>
        </patternFill>
      </fill>
    </dxf>
    <dxf>
      <fill>
        <patternFill patternType="solid">
          <fgColor rgb="FFB6D7A8"/>
          <bgColor rgb="FFB6D7A8"/>
        </patternFill>
      </fill>
    </dxf>
    <dxf>
      <fill>
        <patternFill patternType="solid">
          <fgColor rgb="FFEFEFEF"/>
          <bgColor rgb="FFEFEFEF"/>
        </patternFill>
      </fill>
    </dxf>
    <dxf>
      <fill>
        <patternFill patternType="solid">
          <fgColor rgb="FFC27BA0"/>
          <bgColor rgb="FFC27BA0"/>
        </patternFill>
      </fill>
    </dxf>
    <dxf>
      <fill>
        <patternFill patternType="solid">
          <fgColor rgb="FFFFE599"/>
          <bgColor rgb="FFFFE5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9</xdr:row>
      <xdr:rowOff>38100</xdr:rowOff>
    </xdr:to>
    <xdr:sp macro="" textlink="">
      <xdr:nvSpPr>
        <xdr:cNvPr id="1025" name="Text Box 1" hidden="1">
          <a:extLst>
            <a:ext uri="{FF2B5EF4-FFF2-40B4-BE49-F238E27FC236}">
              <a16:creationId xmlns:a16="http://schemas.microsoft.com/office/drawing/2014/main" id="{A5B89949-092B-1BF3-2B38-593C61620761}"/>
            </a:ext>
          </a:extLst>
        </xdr:cNvPr>
        <xdr:cNvSpPr txBox="1">
          <a:spLocks noChangeArrowheads="1"/>
        </xdr:cNvSpPr>
      </xdr:nvSpPr>
      <xdr:spPr bwMode="auto">
        <a:xfrm>
          <a:off x="2476500" y="295275"/>
          <a:ext cx="113442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tabSelected="1" workbookViewId="0"/>
  </sheetViews>
  <sheetFormatPr defaultColWidth="12.5703125" defaultRowHeight="15.75" customHeight="1"/>
  <cols>
    <col min="1" max="1" width="35" customWidth="1"/>
    <col min="2" max="2" width="4.5703125" customWidth="1"/>
    <col min="3" max="3" width="56.140625" customWidth="1"/>
    <col min="4" max="4" width="106.5703125" customWidth="1"/>
    <col min="5" max="5" width="2.85546875" customWidth="1"/>
    <col min="6" max="6" width="12" customWidth="1"/>
    <col min="7" max="7" width="5.5703125" customWidth="1"/>
    <col min="9" max="9" width="17.85546875" customWidth="1"/>
    <col min="10" max="10" width="13.85546875" customWidth="1"/>
    <col min="11" max="11" width="12" customWidth="1"/>
    <col min="12" max="12" width="10.7109375" customWidth="1"/>
    <col min="13" max="13" width="15.7109375" customWidth="1"/>
  </cols>
  <sheetData>
    <row r="1" spans="1:8" ht="15.75" customHeight="1">
      <c r="A1" s="1" t="s">
        <v>0</v>
      </c>
      <c r="B1" s="1" t="s">
        <v>1</v>
      </c>
      <c r="C1" s="1" t="s">
        <v>2</v>
      </c>
      <c r="D1" s="2" t="s">
        <v>3</v>
      </c>
      <c r="E1" s="1" t="s">
        <v>4</v>
      </c>
      <c r="F1" s="1" t="s">
        <v>5</v>
      </c>
      <c r="G1" s="1" t="s">
        <v>6</v>
      </c>
      <c r="H1" s="3" t="s">
        <v>7</v>
      </c>
    </row>
    <row r="2" spans="1:8" ht="15.75" customHeight="1">
      <c r="A2" s="4" t="s">
        <v>8</v>
      </c>
      <c r="B2" s="4">
        <f t="shared" ref="B2:B256" si="0">ROW() - 2</f>
        <v>0</v>
      </c>
      <c r="C2" s="4" t="s">
        <v>9</v>
      </c>
      <c r="D2" s="5" t="s">
        <v>10</v>
      </c>
      <c r="E2" s="4">
        <v>1</v>
      </c>
      <c r="F2" s="4" t="s">
        <v>11</v>
      </c>
      <c r="G2" s="4">
        <v>7</v>
      </c>
      <c r="H2" s="1" t="s">
        <v>12</v>
      </c>
    </row>
    <row r="3" spans="1:8" ht="15.75" customHeight="1">
      <c r="A3" s="4" t="s">
        <v>13</v>
      </c>
      <c r="B3" s="4">
        <f t="shared" si="0"/>
        <v>1</v>
      </c>
      <c r="C3" s="4" t="s">
        <v>9</v>
      </c>
      <c r="D3" s="5" t="s">
        <v>14</v>
      </c>
      <c r="E3" s="4">
        <v>1</v>
      </c>
      <c r="F3" s="4" t="s">
        <v>11</v>
      </c>
      <c r="G3" s="4">
        <v>8</v>
      </c>
      <c r="H3" s="1" t="s">
        <v>12</v>
      </c>
    </row>
    <row r="4" spans="1:8" ht="15.75" customHeight="1">
      <c r="A4" s="4" t="s">
        <v>15</v>
      </c>
      <c r="B4" s="4">
        <f t="shared" si="0"/>
        <v>2</v>
      </c>
      <c r="C4" s="4" t="s">
        <v>9</v>
      </c>
      <c r="D4" s="5" t="s">
        <v>16</v>
      </c>
      <c r="E4" s="4">
        <v>1</v>
      </c>
      <c r="F4" s="4" t="s">
        <v>11</v>
      </c>
      <c r="G4" s="4">
        <v>9</v>
      </c>
      <c r="H4" s="1" t="s">
        <v>12</v>
      </c>
    </row>
    <row r="5" spans="1:8" ht="15.75" customHeight="1">
      <c r="A5" s="4" t="s">
        <v>17</v>
      </c>
      <c r="B5" s="4">
        <f t="shared" si="0"/>
        <v>3</v>
      </c>
      <c r="C5" s="4" t="s">
        <v>9</v>
      </c>
      <c r="D5" s="5" t="s">
        <v>18</v>
      </c>
      <c r="E5" s="4">
        <v>1</v>
      </c>
      <c r="F5" s="4" t="s">
        <v>11</v>
      </c>
      <c r="G5" s="4">
        <v>10</v>
      </c>
      <c r="H5" s="1" t="s">
        <v>12</v>
      </c>
    </row>
    <row r="6" spans="1:8" ht="15.75" customHeight="1">
      <c r="A6" s="4" t="s">
        <v>19</v>
      </c>
      <c r="B6" s="4">
        <f t="shared" si="0"/>
        <v>4</v>
      </c>
      <c r="C6" s="4" t="s">
        <v>9</v>
      </c>
      <c r="D6" s="5" t="s">
        <v>20</v>
      </c>
      <c r="E6" s="4">
        <v>21</v>
      </c>
      <c r="F6" s="4" t="s">
        <v>11</v>
      </c>
      <c r="G6" s="4">
        <v>167</v>
      </c>
      <c r="H6" s="1" t="s">
        <v>21</v>
      </c>
    </row>
    <row r="7" spans="1:8" ht="15.75" customHeight="1">
      <c r="A7" s="4" t="s">
        <v>22</v>
      </c>
      <c r="B7" s="4">
        <f t="shared" si="0"/>
        <v>5</v>
      </c>
      <c r="C7" s="4" t="s">
        <v>9</v>
      </c>
      <c r="D7" s="5" t="s">
        <v>23</v>
      </c>
      <c r="E7" s="4">
        <v>21</v>
      </c>
      <c r="F7" s="4" t="s">
        <v>11</v>
      </c>
      <c r="G7" s="4">
        <v>156</v>
      </c>
      <c r="H7" s="1" t="s">
        <v>21</v>
      </c>
    </row>
    <row r="8" spans="1:8" ht="15.75" customHeight="1">
      <c r="A8" s="4" t="s">
        <v>24</v>
      </c>
      <c r="B8" s="4">
        <f t="shared" si="0"/>
        <v>6</v>
      </c>
      <c r="C8" s="4" t="s">
        <v>9</v>
      </c>
      <c r="D8" s="5" t="s">
        <v>25</v>
      </c>
      <c r="E8" s="4">
        <v>21</v>
      </c>
      <c r="F8" s="4" t="s">
        <v>11</v>
      </c>
      <c r="G8" s="4">
        <v>173</v>
      </c>
      <c r="H8" s="1" t="s">
        <v>21</v>
      </c>
    </row>
    <row r="9" spans="1:8" ht="15.75" customHeight="1">
      <c r="A9" s="4" t="s">
        <v>26</v>
      </c>
      <c r="B9" s="4">
        <f t="shared" si="0"/>
        <v>7</v>
      </c>
      <c r="C9" s="4" t="s">
        <v>9</v>
      </c>
      <c r="D9" s="5" t="s">
        <v>27</v>
      </c>
      <c r="E9" s="4">
        <v>21</v>
      </c>
      <c r="F9" s="4" t="s">
        <v>11</v>
      </c>
      <c r="G9" s="4">
        <v>134</v>
      </c>
      <c r="H9" s="1" t="s">
        <v>21</v>
      </c>
    </row>
    <row r="10" spans="1:8" ht="15.75" customHeight="1">
      <c r="A10" s="4" t="s">
        <v>28</v>
      </c>
      <c r="B10" s="4">
        <f t="shared" si="0"/>
        <v>8</v>
      </c>
      <c r="C10" s="4" t="s">
        <v>9</v>
      </c>
      <c r="D10" s="5" t="s">
        <v>29</v>
      </c>
      <c r="E10" s="4">
        <v>41</v>
      </c>
      <c r="F10" s="4" t="s">
        <v>11</v>
      </c>
      <c r="G10" s="4">
        <v>1766</v>
      </c>
      <c r="H10" s="1" t="s">
        <v>30</v>
      </c>
    </row>
    <row r="11" spans="1:8" ht="15.75" customHeight="1">
      <c r="A11" s="4" t="s">
        <v>31</v>
      </c>
      <c r="B11" s="4">
        <f t="shared" si="0"/>
        <v>9</v>
      </c>
      <c r="C11" s="4" t="s">
        <v>9</v>
      </c>
      <c r="D11" s="5" t="s">
        <v>10</v>
      </c>
      <c r="E11" s="4">
        <v>41</v>
      </c>
      <c r="F11" s="4" t="s">
        <v>11</v>
      </c>
      <c r="G11" s="4">
        <v>1321</v>
      </c>
      <c r="H11" s="1" t="s">
        <v>30</v>
      </c>
    </row>
    <row r="12" spans="1:8" ht="15.75" customHeight="1">
      <c r="A12" s="4" t="s">
        <v>32</v>
      </c>
      <c r="B12" s="4">
        <f t="shared" si="0"/>
        <v>10</v>
      </c>
      <c r="C12" s="4" t="s">
        <v>9</v>
      </c>
      <c r="D12" s="5" t="s">
        <v>33</v>
      </c>
      <c r="E12" s="4">
        <v>41</v>
      </c>
      <c r="F12" s="4" t="s">
        <v>11</v>
      </c>
      <c r="G12" s="4">
        <v>1521</v>
      </c>
      <c r="H12" s="1" t="s">
        <v>30</v>
      </c>
    </row>
    <row r="13" spans="1:8" ht="15.75" customHeight="1">
      <c r="A13" s="4" t="s">
        <v>34</v>
      </c>
      <c r="B13" s="4">
        <f t="shared" si="0"/>
        <v>11</v>
      </c>
      <c r="C13" s="4" t="s">
        <v>9</v>
      </c>
      <c r="D13" s="5" t="s">
        <v>20</v>
      </c>
      <c r="E13" s="4">
        <v>41</v>
      </c>
      <c r="F13" s="4" t="s">
        <v>11</v>
      </c>
      <c r="G13" s="4">
        <v>1828</v>
      </c>
      <c r="H13" s="1" t="s">
        <v>30</v>
      </c>
    </row>
    <row r="14" spans="1:8" ht="15.75" customHeight="1">
      <c r="A14" s="6" t="s">
        <v>35</v>
      </c>
      <c r="B14" s="6">
        <f t="shared" si="0"/>
        <v>12</v>
      </c>
      <c r="C14" s="6" t="s">
        <v>9</v>
      </c>
      <c r="D14" s="7" t="s">
        <v>36</v>
      </c>
      <c r="E14" s="6">
        <v>11</v>
      </c>
      <c r="F14" s="8" t="s">
        <v>11</v>
      </c>
      <c r="G14" s="6">
        <v>49</v>
      </c>
      <c r="H14" s="1" t="s">
        <v>37</v>
      </c>
    </row>
    <row r="15" spans="1:8" ht="15.75" customHeight="1">
      <c r="A15" s="6" t="s">
        <v>38</v>
      </c>
      <c r="B15" s="6">
        <f t="shared" si="0"/>
        <v>13</v>
      </c>
      <c r="C15" s="6" t="s">
        <v>9</v>
      </c>
      <c r="D15" s="7" t="s">
        <v>39</v>
      </c>
      <c r="E15" s="6">
        <v>11</v>
      </c>
      <c r="F15" s="8" t="s">
        <v>11</v>
      </c>
      <c r="G15" s="6">
        <v>55</v>
      </c>
      <c r="H15" s="1" t="s">
        <v>37</v>
      </c>
    </row>
    <row r="16" spans="1:8" ht="15.75" customHeight="1">
      <c r="A16" s="6" t="s">
        <v>40</v>
      </c>
      <c r="B16" s="6">
        <f t="shared" si="0"/>
        <v>14</v>
      </c>
      <c r="C16" s="6" t="s">
        <v>9</v>
      </c>
      <c r="D16" s="7" t="s">
        <v>41</v>
      </c>
      <c r="E16" s="6">
        <v>11</v>
      </c>
      <c r="F16" s="8" t="s">
        <v>11</v>
      </c>
      <c r="G16" s="6">
        <v>51</v>
      </c>
      <c r="H16" s="1" t="s">
        <v>37</v>
      </c>
    </row>
    <row r="17" spans="1:8" ht="15.75" customHeight="1">
      <c r="A17" s="6" t="s">
        <v>42</v>
      </c>
      <c r="B17" s="6">
        <f t="shared" si="0"/>
        <v>15</v>
      </c>
      <c r="C17" s="6" t="s">
        <v>9</v>
      </c>
      <c r="D17" s="7" t="s">
        <v>18</v>
      </c>
      <c r="E17" s="6">
        <v>11</v>
      </c>
      <c r="F17" s="8" t="s">
        <v>11</v>
      </c>
      <c r="G17" s="6">
        <v>36</v>
      </c>
      <c r="H17" s="1" t="s">
        <v>37</v>
      </c>
    </row>
    <row r="18" spans="1:8" ht="15.75" customHeight="1">
      <c r="A18" s="6" t="s">
        <v>43</v>
      </c>
      <c r="B18" s="6">
        <f t="shared" si="0"/>
        <v>16</v>
      </c>
      <c r="C18" s="6" t="s">
        <v>9</v>
      </c>
      <c r="D18" s="7" t="s">
        <v>44</v>
      </c>
      <c r="E18" s="6">
        <v>31</v>
      </c>
      <c r="F18" s="8" t="s">
        <v>11</v>
      </c>
      <c r="G18" s="6">
        <v>708</v>
      </c>
      <c r="H18" s="1" t="s">
        <v>45</v>
      </c>
    </row>
    <row r="19" spans="1:8" ht="15.75" customHeight="1">
      <c r="A19" s="6" t="s">
        <v>46</v>
      </c>
      <c r="B19" s="6">
        <f t="shared" si="0"/>
        <v>17</v>
      </c>
      <c r="C19" s="6" t="s">
        <v>9</v>
      </c>
      <c r="D19" s="7" t="s">
        <v>16</v>
      </c>
      <c r="E19" s="6">
        <v>31</v>
      </c>
      <c r="F19" s="8" t="s">
        <v>11</v>
      </c>
      <c r="G19" s="6">
        <v>1111</v>
      </c>
      <c r="H19" s="1" t="s">
        <v>45</v>
      </c>
    </row>
    <row r="20" spans="1:8" ht="15.75" customHeight="1">
      <c r="A20" s="6" t="s">
        <v>47</v>
      </c>
      <c r="B20" s="6">
        <f t="shared" si="0"/>
        <v>18</v>
      </c>
      <c r="C20" s="6" t="s">
        <v>9</v>
      </c>
      <c r="D20" s="7" t="s">
        <v>48</v>
      </c>
      <c r="E20" s="6">
        <v>31</v>
      </c>
      <c r="F20" s="8" t="s">
        <v>11</v>
      </c>
      <c r="G20" s="6">
        <v>864</v>
      </c>
      <c r="H20" s="1" t="s">
        <v>45</v>
      </c>
    </row>
    <row r="21" spans="1:8" ht="15.75" customHeight="1">
      <c r="A21" s="6" t="s">
        <v>49</v>
      </c>
      <c r="B21" s="6">
        <f t="shared" si="0"/>
        <v>19</v>
      </c>
      <c r="C21" s="6" t="s">
        <v>9</v>
      </c>
      <c r="D21" s="7" t="s">
        <v>50</v>
      </c>
      <c r="E21" s="6">
        <v>31</v>
      </c>
      <c r="F21" s="8" t="s">
        <v>11</v>
      </c>
      <c r="G21" s="6">
        <v>549</v>
      </c>
      <c r="H21" s="1" t="s">
        <v>45</v>
      </c>
    </row>
    <row r="22" spans="1:8" ht="15.75" customHeight="1">
      <c r="A22" s="4" t="s">
        <v>51</v>
      </c>
      <c r="B22" s="4">
        <f t="shared" si="0"/>
        <v>20</v>
      </c>
      <c r="C22" s="4" t="s">
        <v>52</v>
      </c>
      <c r="D22" s="5" t="s">
        <v>53</v>
      </c>
      <c r="E22" s="4">
        <v>1</v>
      </c>
      <c r="F22" s="4" t="s">
        <v>11</v>
      </c>
      <c r="G22" s="4">
        <f t="shared" ref="G22:G25" si="1">2*G2</f>
        <v>14</v>
      </c>
      <c r="H22" s="1" t="s">
        <v>12</v>
      </c>
    </row>
    <row r="23" spans="1:8" ht="15.75" customHeight="1">
      <c r="A23" s="4" t="s">
        <v>54</v>
      </c>
      <c r="B23" s="4">
        <f t="shared" si="0"/>
        <v>21</v>
      </c>
      <c r="C23" s="4" t="s">
        <v>52</v>
      </c>
      <c r="D23" s="5" t="s">
        <v>55</v>
      </c>
      <c r="E23" s="4">
        <v>1</v>
      </c>
      <c r="F23" s="4" t="s">
        <v>11</v>
      </c>
      <c r="G23" s="4">
        <f t="shared" si="1"/>
        <v>16</v>
      </c>
      <c r="H23" s="1" t="s">
        <v>12</v>
      </c>
    </row>
    <row r="24" spans="1:8" ht="15.75" customHeight="1">
      <c r="A24" s="4" t="s">
        <v>56</v>
      </c>
      <c r="B24" s="4">
        <f t="shared" si="0"/>
        <v>22</v>
      </c>
      <c r="C24" s="4" t="s">
        <v>52</v>
      </c>
      <c r="D24" s="5" t="s">
        <v>57</v>
      </c>
      <c r="E24" s="4">
        <v>1</v>
      </c>
      <c r="F24" s="4" t="s">
        <v>11</v>
      </c>
      <c r="G24" s="4">
        <f t="shared" si="1"/>
        <v>18</v>
      </c>
      <c r="H24" s="1" t="s">
        <v>12</v>
      </c>
    </row>
    <row r="25" spans="1:8" ht="15.75" customHeight="1">
      <c r="A25" s="4" t="s">
        <v>58</v>
      </c>
      <c r="B25" s="4">
        <f t="shared" si="0"/>
        <v>23</v>
      </c>
      <c r="C25" s="4" t="s">
        <v>52</v>
      </c>
      <c r="D25" s="5" t="s">
        <v>59</v>
      </c>
      <c r="E25" s="4">
        <v>1</v>
      </c>
      <c r="F25" s="4" t="s">
        <v>11</v>
      </c>
      <c r="G25" s="4">
        <f t="shared" si="1"/>
        <v>20</v>
      </c>
      <c r="H25" s="1" t="s">
        <v>12</v>
      </c>
    </row>
    <row r="26" spans="1:8" ht="15.75" customHeight="1">
      <c r="A26" s="4" t="s">
        <v>60</v>
      </c>
      <c r="B26" s="4">
        <f t="shared" si="0"/>
        <v>24</v>
      </c>
      <c r="C26" s="4" t="s">
        <v>52</v>
      </c>
      <c r="D26" s="5" t="s">
        <v>61</v>
      </c>
      <c r="E26" s="4">
        <v>11</v>
      </c>
      <c r="F26" s="9" t="s">
        <v>11</v>
      </c>
      <c r="G26" s="4">
        <f>2*G2+G14</f>
        <v>63</v>
      </c>
      <c r="H26" s="1" t="s">
        <v>37</v>
      </c>
    </row>
    <row r="27" spans="1:8" ht="15.75" customHeight="1">
      <c r="A27" s="4" t="s">
        <v>62</v>
      </c>
      <c r="B27" s="4">
        <f t="shared" si="0"/>
        <v>25</v>
      </c>
      <c r="C27" s="4" t="s">
        <v>52</v>
      </c>
      <c r="D27" s="5" t="s">
        <v>63</v>
      </c>
      <c r="E27" s="4">
        <v>11</v>
      </c>
      <c r="F27" s="9" t="s">
        <v>11</v>
      </c>
      <c r="G27" s="4">
        <f>G2+G3+G15</f>
        <v>70</v>
      </c>
      <c r="H27" s="1" t="s">
        <v>37</v>
      </c>
    </row>
    <row r="28" spans="1:8" ht="15.75" customHeight="1">
      <c r="A28" s="4" t="s">
        <v>64</v>
      </c>
      <c r="B28" s="4">
        <f t="shared" si="0"/>
        <v>26</v>
      </c>
      <c r="C28" s="4" t="s">
        <v>52</v>
      </c>
      <c r="D28" s="5" t="s">
        <v>65</v>
      </c>
      <c r="E28" s="4">
        <v>11</v>
      </c>
      <c r="F28" s="9" t="s">
        <v>11</v>
      </c>
      <c r="G28" s="4">
        <f>2*G2+G16</f>
        <v>65</v>
      </c>
      <c r="H28" s="1" t="s">
        <v>37</v>
      </c>
    </row>
    <row r="29" spans="1:8" ht="15.75" customHeight="1">
      <c r="A29" s="4" t="s">
        <v>66</v>
      </c>
      <c r="B29" s="4">
        <f t="shared" si="0"/>
        <v>27</v>
      </c>
      <c r="C29" s="4" t="s">
        <v>52</v>
      </c>
      <c r="D29" s="5" t="s">
        <v>67</v>
      </c>
      <c r="E29" s="4">
        <v>11</v>
      </c>
      <c r="F29" s="9" t="s">
        <v>11</v>
      </c>
      <c r="G29" s="4">
        <f>2*G4+G5+G17</f>
        <v>64</v>
      </c>
      <c r="H29" s="1" t="s">
        <v>37</v>
      </c>
    </row>
    <row r="30" spans="1:8" ht="15.75" customHeight="1">
      <c r="A30" s="4" t="s">
        <v>68</v>
      </c>
      <c r="B30" s="4">
        <f t="shared" si="0"/>
        <v>28</v>
      </c>
      <c r="C30" s="4" t="s">
        <v>52</v>
      </c>
      <c r="D30" s="5" t="s">
        <v>69</v>
      </c>
      <c r="E30" s="4">
        <v>21</v>
      </c>
      <c r="F30" s="9" t="s">
        <v>11</v>
      </c>
      <c r="G30" s="4">
        <f t="shared" ref="G30:G33" si="2">2*G6</f>
        <v>334</v>
      </c>
      <c r="H30" s="1" t="s">
        <v>21</v>
      </c>
    </row>
    <row r="31" spans="1:8" ht="15.75" customHeight="1">
      <c r="A31" s="4" t="s">
        <v>70</v>
      </c>
      <c r="B31" s="4">
        <f t="shared" si="0"/>
        <v>29</v>
      </c>
      <c r="C31" s="4" t="s">
        <v>52</v>
      </c>
      <c r="D31" s="5" t="s">
        <v>71</v>
      </c>
      <c r="E31" s="4">
        <v>21</v>
      </c>
      <c r="F31" s="9" t="s">
        <v>11</v>
      </c>
      <c r="G31" s="4">
        <f t="shared" si="2"/>
        <v>312</v>
      </c>
      <c r="H31" s="1" t="s">
        <v>21</v>
      </c>
    </row>
    <row r="32" spans="1:8" ht="15.75" customHeight="1">
      <c r="A32" s="4" t="s">
        <v>72</v>
      </c>
      <c r="B32" s="4">
        <f t="shared" si="0"/>
        <v>30</v>
      </c>
      <c r="C32" s="4" t="s">
        <v>52</v>
      </c>
      <c r="D32" s="5" t="s">
        <v>73</v>
      </c>
      <c r="E32" s="4">
        <v>21</v>
      </c>
      <c r="F32" s="9" t="s">
        <v>11</v>
      </c>
      <c r="G32" s="4">
        <f t="shared" si="2"/>
        <v>346</v>
      </c>
      <c r="H32" s="1" t="s">
        <v>21</v>
      </c>
    </row>
    <row r="33" spans="1:8" ht="15.75" customHeight="1">
      <c r="A33" s="4" t="s">
        <v>74</v>
      </c>
      <c r="B33" s="4">
        <f t="shared" si="0"/>
        <v>31</v>
      </c>
      <c r="C33" s="4" t="s">
        <v>52</v>
      </c>
      <c r="D33" s="5" t="s">
        <v>75</v>
      </c>
      <c r="E33" s="4">
        <v>21</v>
      </c>
      <c r="F33" s="9" t="s">
        <v>11</v>
      </c>
      <c r="G33" s="4">
        <f t="shared" si="2"/>
        <v>268</v>
      </c>
      <c r="H33" s="1" t="s">
        <v>21</v>
      </c>
    </row>
    <row r="34" spans="1:8" ht="15.75" customHeight="1">
      <c r="A34" s="4" t="s">
        <v>76</v>
      </c>
      <c r="B34" s="4">
        <f t="shared" si="0"/>
        <v>32</v>
      </c>
      <c r="C34" s="4" t="s">
        <v>52</v>
      </c>
      <c r="D34" s="5" t="s">
        <v>77</v>
      </c>
      <c r="E34" s="4">
        <v>31</v>
      </c>
      <c r="F34" s="9" t="s">
        <v>11</v>
      </c>
      <c r="G34" s="4">
        <f>2*G6+G18</f>
        <v>1042</v>
      </c>
      <c r="H34" s="1" t="s">
        <v>45</v>
      </c>
    </row>
    <row r="35" spans="1:8" ht="15.75" customHeight="1">
      <c r="A35" s="4" t="s">
        <v>78</v>
      </c>
      <c r="B35" s="4">
        <f t="shared" si="0"/>
        <v>33</v>
      </c>
      <c r="C35" s="4" t="s">
        <v>52</v>
      </c>
      <c r="D35" s="5" t="s">
        <v>79</v>
      </c>
      <c r="E35" s="4">
        <v>31</v>
      </c>
      <c r="F35" s="9" t="s">
        <v>11</v>
      </c>
      <c r="G35" s="4">
        <f>2*G4+G19</f>
        <v>1129</v>
      </c>
      <c r="H35" s="1" t="s">
        <v>45</v>
      </c>
    </row>
    <row r="36" spans="1:8" ht="15.75" customHeight="1">
      <c r="A36" s="4" t="s">
        <v>80</v>
      </c>
      <c r="B36" s="4">
        <f t="shared" si="0"/>
        <v>34</v>
      </c>
      <c r="C36" s="4" t="s">
        <v>52</v>
      </c>
      <c r="D36" s="5" t="s">
        <v>81</v>
      </c>
      <c r="E36" s="4">
        <v>31</v>
      </c>
      <c r="F36" s="9" t="s">
        <v>11</v>
      </c>
      <c r="G36" s="4">
        <f>G8+G9+G20</f>
        <v>1171</v>
      </c>
      <c r="H36" s="1" t="s">
        <v>45</v>
      </c>
    </row>
    <row r="37" spans="1:8" ht="15.75" customHeight="1">
      <c r="A37" s="4" t="s">
        <v>82</v>
      </c>
      <c r="B37" s="4">
        <f t="shared" si="0"/>
        <v>35</v>
      </c>
      <c r="C37" s="4" t="s">
        <v>52</v>
      </c>
      <c r="D37" s="5" t="s">
        <v>83</v>
      </c>
      <c r="E37" s="4">
        <v>31</v>
      </c>
      <c r="F37" s="9" t="s">
        <v>11</v>
      </c>
      <c r="G37" s="4">
        <f>G7 + 2*G21</f>
        <v>1254</v>
      </c>
      <c r="H37" s="1" t="s">
        <v>45</v>
      </c>
    </row>
    <row r="38" spans="1:8" ht="15.75" customHeight="1">
      <c r="A38" s="4" t="s">
        <v>84</v>
      </c>
      <c r="B38" s="4">
        <f t="shared" si="0"/>
        <v>36</v>
      </c>
      <c r="C38" s="4" t="s">
        <v>52</v>
      </c>
      <c r="D38" s="5" t="s">
        <v>85</v>
      </c>
      <c r="E38" s="4">
        <v>41</v>
      </c>
      <c r="F38" s="9" t="s">
        <v>11</v>
      </c>
      <c r="G38" s="4">
        <f t="shared" ref="G38:G41" si="3">3*G10</f>
        <v>5298</v>
      </c>
      <c r="H38" s="1" t="s">
        <v>30</v>
      </c>
    </row>
    <row r="39" spans="1:8" ht="15.75" customHeight="1">
      <c r="A39" s="4" t="s">
        <v>86</v>
      </c>
      <c r="B39" s="4">
        <f t="shared" si="0"/>
        <v>37</v>
      </c>
      <c r="C39" s="4" t="s">
        <v>52</v>
      </c>
      <c r="D39" s="5" t="s">
        <v>87</v>
      </c>
      <c r="E39" s="4">
        <v>41</v>
      </c>
      <c r="F39" s="9" t="s">
        <v>11</v>
      </c>
      <c r="G39" s="4">
        <f t="shared" si="3"/>
        <v>3963</v>
      </c>
      <c r="H39" s="1" t="s">
        <v>30</v>
      </c>
    </row>
    <row r="40" spans="1:8" ht="15.75" customHeight="1">
      <c r="A40" s="4" t="s">
        <v>88</v>
      </c>
      <c r="B40" s="4">
        <f t="shared" si="0"/>
        <v>38</v>
      </c>
      <c r="C40" s="4" t="s">
        <v>52</v>
      </c>
      <c r="D40" s="5" t="s">
        <v>89</v>
      </c>
      <c r="E40" s="4">
        <v>41</v>
      </c>
      <c r="F40" s="9" t="s">
        <v>11</v>
      </c>
      <c r="G40" s="4">
        <f t="shared" si="3"/>
        <v>4563</v>
      </c>
      <c r="H40" s="1" t="s">
        <v>30</v>
      </c>
    </row>
    <row r="41" spans="1:8" ht="15.75" customHeight="1">
      <c r="A41" s="4" t="s">
        <v>90</v>
      </c>
      <c r="B41" s="4">
        <f t="shared" si="0"/>
        <v>39</v>
      </c>
      <c r="C41" s="4" t="s">
        <v>52</v>
      </c>
      <c r="D41" s="5" t="s">
        <v>91</v>
      </c>
      <c r="E41" s="4">
        <v>41</v>
      </c>
      <c r="F41" s="9" t="s">
        <v>11</v>
      </c>
      <c r="G41" s="4">
        <f t="shared" si="3"/>
        <v>5484</v>
      </c>
      <c r="H41" s="1" t="s">
        <v>30</v>
      </c>
    </row>
    <row r="42" spans="1:8" ht="15.75" customHeight="1">
      <c r="A42" s="8" t="s">
        <v>92</v>
      </c>
      <c r="B42" s="6">
        <f t="shared" si="0"/>
        <v>40</v>
      </c>
      <c r="C42" s="8" t="s">
        <v>93</v>
      </c>
      <c r="D42" s="10" t="s">
        <v>94</v>
      </c>
      <c r="E42" s="6">
        <v>1</v>
      </c>
      <c r="F42" s="8" t="s">
        <v>11</v>
      </c>
      <c r="G42" s="11">
        <f t="shared" ref="G42:G45" si="4">6*G2</f>
        <v>42</v>
      </c>
      <c r="H42" s="1" t="s">
        <v>12</v>
      </c>
    </row>
    <row r="43" spans="1:8" ht="15.75" customHeight="1">
      <c r="A43" s="8" t="s">
        <v>95</v>
      </c>
      <c r="B43" s="6">
        <f t="shared" si="0"/>
        <v>41</v>
      </c>
      <c r="C43" s="8" t="s">
        <v>93</v>
      </c>
      <c r="D43" s="10" t="s">
        <v>96</v>
      </c>
      <c r="E43" s="6">
        <v>1</v>
      </c>
      <c r="F43" s="8" t="s">
        <v>11</v>
      </c>
      <c r="G43" s="11">
        <f t="shared" si="4"/>
        <v>48</v>
      </c>
      <c r="H43" s="1" t="s">
        <v>12</v>
      </c>
    </row>
    <row r="44" spans="1:8" ht="15.75" customHeight="1">
      <c r="A44" s="8" t="s">
        <v>97</v>
      </c>
      <c r="B44" s="6">
        <f t="shared" si="0"/>
        <v>42</v>
      </c>
      <c r="C44" s="8" t="s">
        <v>93</v>
      </c>
      <c r="D44" s="10" t="s">
        <v>98</v>
      </c>
      <c r="E44" s="6">
        <v>1</v>
      </c>
      <c r="F44" s="8" t="s">
        <v>11</v>
      </c>
      <c r="G44" s="11">
        <f t="shared" si="4"/>
        <v>54</v>
      </c>
      <c r="H44" s="1" t="s">
        <v>12</v>
      </c>
    </row>
    <row r="45" spans="1:8" ht="15.75" customHeight="1">
      <c r="A45" s="8" t="s">
        <v>99</v>
      </c>
      <c r="B45" s="6">
        <f t="shared" si="0"/>
        <v>43</v>
      </c>
      <c r="C45" s="8" t="s">
        <v>93</v>
      </c>
      <c r="D45" s="10" t="s">
        <v>100</v>
      </c>
      <c r="E45" s="6">
        <v>1</v>
      </c>
      <c r="F45" s="8" t="s">
        <v>11</v>
      </c>
      <c r="G45" s="11">
        <f t="shared" si="4"/>
        <v>60</v>
      </c>
      <c r="H45" s="1" t="s">
        <v>12</v>
      </c>
    </row>
    <row r="46" spans="1:8" ht="15.75" customHeight="1">
      <c r="A46" s="8" t="s">
        <v>101</v>
      </c>
      <c r="B46" s="6">
        <f t="shared" si="0"/>
        <v>44</v>
      </c>
      <c r="C46" s="8" t="s">
        <v>93</v>
      </c>
      <c r="D46" s="10" t="s">
        <v>102</v>
      </c>
      <c r="E46" s="6">
        <v>11</v>
      </c>
      <c r="F46" s="8" t="s">
        <v>11</v>
      </c>
      <c r="G46" s="11">
        <f>6*G2+3*G14</f>
        <v>189</v>
      </c>
      <c r="H46" s="1" t="s">
        <v>37</v>
      </c>
    </row>
    <row r="47" spans="1:8" ht="15.75" customHeight="1">
      <c r="A47" s="8" t="s">
        <v>103</v>
      </c>
      <c r="B47" s="6">
        <f t="shared" si="0"/>
        <v>45</v>
      </c>
      <c r="C47" s="8" t="s">
        <v>93</v>
      </c>
      <c r="D47" s="10" t="s">
        <v>104</v>
      </c>
      <c r="E47" s="6">
        <v>11</v>
      </c>
      <c r="F47" s="8" t="s">
        <v>11</v>
      </c>
      <c r="G47" s="11">
        <f>3*G2+3*G3+3*G15</f>
        <v>210</v>
      </c>
      <c r="H47" s="1" t="s">
        <v>37</v>
      </c>
    </row>
    <row r="48" spans="1:8" ht="15.75" customHeight="1">
      <c r="A48" s="8" t="s">
        <v>105</v>
      </c>
      <c r="B48" s="6">
        <f t="shared" si="0"/>
        <v>46</v>
      </c>
      <c r="C48" s="8" t="s">
        <v>93</v>
      </c>
      <c r="D48" s="10" t="s">
        <v>106</v>
      </c>
      <c r="E48" s="6">
        <v>11</v>
      </c>
      <c r="F48" s="8" t="s">
        <v>11</v>
      </c>
      <c r="G48" s="11">
        <f>6*G2+3*G16</f>
        <v>195</v>
      </c>
      <c r="H48" s="1" t="s">
        <v>37</v>
      </c>
    </row>
    <row r="49" spans="1:8" ht="15.75" customHeight="1">
      <c r="A49" s="8" t="s">
        <v>107</v>
      </c>
      <c r="B49" s="6">
        <f t="shared" si="0"/>
        <v>47</v>
      </c>
      <c r="C49" s="8" t="s">
        <v>93</v>
      </c>
      <c r="D49" s="10" t="s">
        <v>108</v>
      </c>
      <c r="E49" s="6">
        <v>11</v>
      </c>
      <c r="F49" s="8" t="s">
        <v>11</v>
      </c>
      <c r="G49" s="11">
        <f>9*G4+3*G5+3*G17</f>
        <v>219</v>
      </c>
      <c r="H49" s="1" t="s">
        <v>37</v>
      </c>
    </row>
    <row r="50" spans="1:8" ht="15.75" customHeight="1">
      <c r="A50" s="8" t="s">
        <v>109</v>
      </c>
      <c r="B50" s="6">
        <f t="shared" si="0"/>
        <v>48</v>
      </c>
      <c r="C50" s="8" t="s">
        <v>93</v>
      </c>
      <c r="D50" s="10" t="s">
        <v>110</v>
      </c>
      <c r="E50" s="6">
        <v>21</v>
      </c>
      <c r="F50" s="8" t="s">
        <v>11</v>
      </c>
      <c r="G50" s="11">
        <f t="shared" ref="G50:G53" si="5">6*G6</f>
        <v>1002</v>
      </c>
      <c r="H50" s="1" t="s">
        <v>21</v>
      </c>
    </row>
    <row r="51" spans="1:8" ht="15.75" customHeight="1">
      <c r="A51" s="8" t="s">
        <v>111</v>
      </c>
      <c r="B51" s="6">
        <f t="shared" si="0"/>
        <v>49</v>
      </c>
      <c r="C51" s="8" t="s">
        <v>93</v>
      </c>
      <c r="D51" s="10" t="s">
        <v>112</v>
      </c>
      <c r="E51" s="6">
        <v>21</v>
      </c>
      <c r="F51" s="8" t="s">
        <v>11</v>
      </c>
      <c r="G51" s="11">
        <f t="shared" si="5"/>
        <v>936</v>
      </c>
      <c r="H51" s="1" t="s">
        <v>21</v>
      </c>
    </row>
    <row r="52" spans="1:8" ht="15.75" customHeight="1">
      <c r="A52" s="8" t="s">
        <v>113</v>
      </c>
      <c r="B52" s="6">
        <f t="shared" si="0"/>
        <v>50</v>
      </c>
      <c r="C52" s="8" t="s">
        <v>93</v>
      </c>
      <c r="D52" s="10" t="s">
        <v>114</v>
      </c>
      <c r="E52" s="6">
        <v>21</v>
      </c>
      <c r="F52" s="8" t="s">
        <v>11</v>
      </c>
      <c r="G52" s="11">
        <f t="shared" si="5"/>
        <v>1038</v>
      </c>
      <c r="H52" s="1" t="s">
        <v>21</v>
      </c>
    </row>
    <row r="53" spans="1:8" ht="15.75" customHeight="1">
      <c r="A53" s="8" t="s">
        <v>115</v>
      </c>
      <c r="B53" s="6">
        <f t="shared" si="0"/>
        <v>51</v>
      </c>
      <c r="C53" s="8" t="s">
        <v>93</v>
      </c>
      <c r="D53" s="10" t="s">
        <v>116</v>
      </c>
      <c r="E53" s="6">
        <v>21</v>
      </c>
      <c r="F53" s="8" t="s">
        <v>11</v>
      </c>
      <c r="G53" s="11">
        <f t="shared" si="5"/>
        <v>804</v>
      </c>
      <c r="H53" s="1" t="s">
        <v>21</v>
      </c>
    </row>
    <row r="54" spans="1:8" ht="15.75" customHeight="1">
      <c r="A54" s="8" t="s">
        <v>117</v>
      </c>
      <c r="B54" s="6">
        <f t="shared" si="0"/>
        <v>52</v>
      </c>
      <c r="C54" s="8" t="s">
        <v>93</v>
      </c>
      <c r="D54" s="10" t="s">
        <v>118</v>
      </c>
      <c r="E54" s="6">
        <v>31</v>
      </c>
      <c r="F54" s="8" t="s">
        <v>11</v>
      </c>
      <c r="G54" s="11">
        <f>6*G6+3*G18</f>
        <v>3126</v>
      </c>
      <c r="H54" s="1" t="s">
        <v>45</v>
      </c>
    </row>
    <row r="55" spans="1:8" ht="15.75" customHeight="1">
      <c r="A55" s="8" t="s">
        <v>119</v>
      </c>
      <c r="B55" s="6">
        <f t="shared" si="0"/>
        <v>53</v>
      </c>
      <c r="C55" s="8" t="s">
        <v>93</v>
      </c>
      <c r="D55" s="10" t="s">
        <v>120</v>
      </c>
      <c r="E55" s="6">
        <v>31</v>
      </c>
      <c r="F55" s="8" t="s">
        <v>11</v>
      </c>
      <c r="G55" s="11">
        <f>6*G4+3*G19</f>
        <v>3387</v>
      </c>
      <c r="H55" s="1" t="s">
        <v>45</v>
      </c>
    </row>
    <row r="56" spans="1:8" ht="12.75">
      <c r="A56" s="8" t="s">
        <v>121</v>
      </c>
      <c r="B56" s="6">
        <f t="shared" si="0"/>
        <v>54</v>
      </c>
      <c r="C56" s="8" t="s">
        <v>93</v>
      </c>
      <c r="D56" s="10" t="s">
        <v>122</v>
      </c>
      <c r="E56" s="6">
        <v>31</v>
      </c>
      <c r="F56" s="8" t="s">
        <v>11</v>
      </c>
      <c r="G56" s="11">
        <f>3*G8+3*G9+3*G20</f>
        <v>3513</v>
      </c>
      <c r="H56" s="1" t="s">
        <v>45</v>
      </c>
    </row>
    <row r="57" spans="1:8" ht="12.75">
      <c r="A57" s="8" t="s">
        <v>123</v>
      </c>
      <c r="B57" s="6">
        <f t="shared" si="0"/>
        <v>55</v>
      </c>
      <c r="C57" s="8" t="s">
        <v>93</v>
      </c>
      <c r="D57" s="10" t="s">
        <v>124</v>
      </c>
      <c r="E57" s="6">
        <v>31</v>
      </c>
      <c r="F57" s="8" t="s">
        <v>11</v>
      </c>
      <c r="G57" s="11">
        <f>3*G7+6*G21</f>
        <v>3762</v>
      </c>
      <c r="H57" s="1" t="s">
        <v>45</v>
      </c>
    </row>
    <row r="58" spans="1:8" ht="12.75">
      <c r="A58" s="8" t="s">
        <v>125</v>
      </c>
      <c r="B58" s="6">
        <f t="shared" si="0"/>
        <v>56</v>
      </c>
      <c r="C58" s="8" t="s">
        <v>93</v>
      </c>
      <c r="D58" s="10" t="s">
        <v>126</v>
      </c>
      <c r="E58" s="6">
        <v>41</v>
      </c>
      <c r="F58" s="8" t="s">
        <v>11</v>
      </c>
      <c r="G58" s="11">
        <f t="shared" ref="G58:G61" si="6">9*G10</f>
        <v>15894</v>
      </c>
      <c r="H58" s="1" t="s">
        <v>30</v>
      </c>
    </row>
    <row r="59" spans="1:8" ht="12.75">
      <c r="A59" s="8" t="s">
        <v>127</v>
      </c>
      <c r="B59" s="6">
        <f t="shared" si="0"/>
        <v>57</v>
      </c>
      <c r="C59" s="8" t="s">
        <v>93</v>
      </c>
      <c r="D59" s="10" t="s">
        <v>128</v>
      </c>
      <c r="E59" s="6">
        <v>41</v>
      </c>
      <c r="F59" s="8" t="s">
        <v>11</v>
      </c>
      <c r="G59" s="11">
        <f t="shared" si="6"/>
        <v>11889</v>
      </c>
      <c r="H59" s="1" t="s">
        <v>30</v>
      </c>
    </row>
    <row r="60" spans="1:8" ht="12.75">
      <c r="A60" s="8" t="s">
        <v>129</v>
      </c>
      <c r="B60" s="6">
        <f t="shared" si="0"/>
        <v>58</v>
      </c>
      <c r="C60" s="8" t="s">
        <v>93</v>
      </c>
      <c r="D60" s="10" t="s">
        <v>130</v>
      </c>
      <c r="E60" s="6">
        <v>41</v>
      </c>
      <c r="F60" s="8" t="s">
        <v>11</v>
      </c>
      <c r="G60" s="11">
        <f t="shared" si="6"/>
        <v>13689</v>
      </c>
      <c r="H60" s="1" t="s">
        <v>30</v>
      </c>
    </row>
    <row r="61" spans="1:8" ht="12.75">
      <c r="A61" s="8" t="s">
        <v>131</v>
      </c>
      <c r="B61" s="6">
        <f t="shared" si="0"/>
        <v>59</v>
      </c>
      <c r="C61" s="8" t="s">
        <v>93</v>
      </c>
      <c r="D61" s="10" t="s">
        <v>132</v>
      </c>
      <c r="E61" s="6">
        <v>41</v>
      </c>
      <c r="F61" s="8" t="s">
        <v>11</v>
      </c>
      <c r="G61" s="11">
        <f t="shared" si="6"/>
        <v>16452</v>
      </c>
      <c r="H61" s="1" t="s">
        <v>30</v>
      </c>
    </row>
    <row r="62" spans="1:8" ht="12.75">
      <c r="A62" s="4" t="s">
        <v>133</v>
      </c>
      <c r="B62" s="4">
        <f t="shared" si="0"/>
        <v>60</v>
      </c>
      <c r="C62" s="4" t="s">
        <v>134</v>
      </c>
      <c r="D62" s="5" t="s">
        <v>135</v>
      </c>
      <c r="E62" s="4">
        <v>1</v>
      </c>
      <c r="F62" s="4" t="s">
        <v>11</v>
      </c>
      <c r="G62" s="4">
        <f t="shared" ref="G62:G81" si="7">FLOOR(G22/2,1)</f>
        <v>7</v>
      </c>
      <c r="H62" s="1" t="s">
        <v>12</v>
      </c>
    </row>
    <row r="63" spans="1:8" ht="12.75">
      <c r="A63" s="4" t="s">
        <v>136</v>
      </c>
      <c r="B63" s="4">
        <f t="shared" si="0"/>
        <v>61</v>
      </c>
      <c r="C63" s="4" t="s">
        <v>134</v>
      </c>
      <c r="D63" s="5" t="s">
        <v>137</v>
      </c>
      <c r="E63" s="4">
        <v>1</v>
      </c>
      <c r="F63" s="4" t="s">
        <v>11</v>
      </c>
      <c r="G63" s="4">
        <f t="shared" si="7"/>
        <v>8</v>
      </c>
      <c r="H63" s="1" t="s">
        <v>12</v>
      </c>
    </row>
    <row r="64" spans="1:8" ht="12.75">
      <c r="A64" s="4" t="s">
        <v>138</v>
      </c>
      <c r="B64" s="4">
        <f t="shared" si="0"/>
        <v>62</v>
      </c>
      <c r="C64" s="4" t="s">
        <v>134</v>
      </c>
      <c r="D64" s="5" t="s">
        <v>139</v>
      </c>
      <c r="E64" s="4">
        <v>1</v>
      </c>
      <c r="F64" s="4" t="s">
        <v>11</v>
      </c>
      <c r="G64" s="4">
        <f t="shared" si="7"/>
        <v>9</v>
      </c>
      <c r="H64" s="1" t="s">
        <v>12</v>
      </c>
    </row>
    <row r="65" spans="1:8" ht="12.75">
      <c r="A65" s="4" t="s">
        <v>140</v>
      </c>
      <c r="B65" s="4">
        <f t="shared" si="0"/>
        <v>63</v>
      </c>
      <c r="C65" s="4" t="s">
        <v>134</v>
      </c>
      <c r="D65" s="5" t="s">
        <v>141</v>
      </c>
      <c r="E65" s="4">
        <v>1</v>
      </c>
      <c r="F65" s="4" t="s">
        <v>11</v>
      </c>
      <c r="G65" s="4">
        <f t="shared" si="7"/>
        <v>10</v>
      </c>
      <c r="H65" s="1" t="s">
        <v>12</v>
      </c>
    </row>
    <row r="66" spans="1:8" ht="12.75">
      <c r="A66" s="4" t="s">
        <v>142</v>
      </c>
      <c r="B66" s="4">
        <f t="shared" si="0"/>
        <v>64</v>
      </c>
      <c r="C66" s="4" t="s">
        <v>134</v>
      </c>
      <c r="D66" s="5" t="s">
        <v>143</v>
      </c>
      <c r="E66" s="4">
        <v>11</v>
      </c>
      <c r="F66" s="9" t="s">
        <v>11</v>
      </c>
      <c r="G66" s="4">
        <f t="shared" si="7"/>
        <v>31</v>
      </c>
      <c r="H66" s="1" t="s">
        <v>37</v>
      </c>
    </row>
    <row r="67" spans="1:8" ht="12.75">
      <c r="A67" s="4" t="s">
        <v>144</v>
      </c>
      <c r="B67" s="4">
        <f t="shared" si="0"/>
        <v>65</v>
      </c>
      <c r="C67" s="4" t="s">
        <v>134</v>
      </c>
      <c r="D67" s="5" t="s">
        <v>145</v>
      </c>
      <c r="E67" s="4">
        <v>11</v>
      </c>
      <c r="F67" s="9" t="s">
        <v>11</v>
      </c>
      <c r="G67" s="4">
        <f t="shared" si="7"/>
        <v>35</v>
      </c>
      <c r="H67" s="1" t="s">
        <v>37</v>
      </c>
    </row>
    <row r="68" spans="1:8" ht="12.75">
      <c r="A68" s="4" t="s">
        <v>146</v>
      </c>
      <c r="B68" s="4">
        <f t="shared" si="0"/>
        <v>66</v>
      </c>
      <c r="C68" s="4" t="s">
        <v>134</v>
      </c>
      <c r="D68" s="5" t="s">
        <v>147</v>
      </c>
      <c r="E68" s="4">
        <v>11</v>
      </c>
      <c r="F68" s="9" t="s">
        <v>11</v>
      </c>
      <c r="G68" s="4">
        <f t="shared" si="7"/>
        <v>32</v>
      </c>
      <c r="H68" s="1" t="s">
        <v>37</v>
      </c>
    </row>
    <row r="69" spans="1:8" ht="12.75">
      <c r="A69" s="4" t="s">
        <v>148</v>
      </c>
      <c r="B69" s="4">
        <f t="shared" si="0"/>
        <v>67</v>
      </c>
      <c r="C69" s="4" t="s">
        <v>134</v>
      </c>
      <c r="D69" s="5" t="s">
        <v>149</v>
      </c>
      <c r="E69" s="4">
        <v>11</v>
      </c>
      <c r="F69" s="9" t="s">
        <v>11</v>
      </c>
      <c r="G69" s="4">
        <f t="shared" si="7"/>
        <v>32</v>
      </c>
      <c r="H69" s="1" t="s">
        <v>37</v>
      </c>
    </row>
    <row r="70" spans="1:8" ht="12.75">
      <c r="A70" s="4" t="s">
        <v>150</v>
      </c>
      <c r="B70" s="4">
        <f t="shared" si="0"/>
        <v>68</v>
      </c>
      <c r="C70" s="4" t="s">
        <v>134</v>
      </c>
      <c r="D70" s="5" t="s">
        <v>151</v>
      </c>
      <c r="E70" s="4">
        <v>21</v>
      </c>
      <c r="F70" s="9" t="s">
        <v>11</v>
      </c>
      <c r="G70" s="4">
        <f t="shared" si="7"/>
        <v>167</v>
      </c>
      <c r="H70" s="1" t="s">
        <v>21</v>
      </c>
    </row>
    <row r="71" spans="1:8" ht="12.75">
      <c r="A71" s="4" t="s">
        <v>152</v>
      </c>
      <c r="B71" s="4">
        <f t="shared" si="0"/>
        <v>69</v>
      </c>
      <c r="C71" s="4" t="s">
        <v>134</v>
      </c>
      <c r="D71" s="5" t="s">
        <v>153</v>
      </c>
      <c r="E71" s="4">
        <v>21</v>
      </c>
      <c r="F71" s="9" t="s">
        <v>11</v>
      </c>
      <c r="G71" s="4">
        <f t="shared" si="7"/>
        <v>156</v>
      </c>
      <c r="H71" s="1" t="s">
        <v>21</v>
      </c>
    </row>
    <row r="72" spans="1:8" ht="12.75">
      <c r="A72" s="4" t="s">
        <v>154</v>
      </c>
      <c r="B72" s="4">
        <f t="shared" si="0"/>
        <v>70</v>
      </c>
      <c r="C72" s="4" t="s">
        <v>134</v>
      </c>
      <c r="D72" s="5" t="s">
        <v>155</v>
      </c>
      <c r="E72" s="4">
        <v>21</v>
      </c>
      <c r="F72" s="9" t="s">
        <v>11</v>
      </c>
      <c r="G72" s="4">
        <f t="shared" si="7"/>
        <v>173</v>
      </c>
      <c r="H72" s="1" t="s">
        <v>21</v>
      </c>
    </row>
    <row r="73" spans="1:8" ht="12.75">
      <c r="A73" s="4" t="s">
        <v>156</v>
      </c>
      <c r="B73" s="4">
        <f t="shared" si="0"/>
        <v>71</v>
      </c>
      <c r="C73" s="4" t="s">
        <v>134</v>
      </c>
      <c r="D73" s="5" t="s">
        <v>157</v>
      </c>
      <c r="E73" s="4">
        <v>21</v>
      </c>
      <c r="F73" s="9" t="s">
        <v>11</v>
      </c>
      <c r="G73" s="4">
        <f t="shared" si="7"/>
        <v>134</v>
      </c>
      <c r="H73" s="1" t="s">
        <v>21</v>
      </c>
    </row>
    <row r="74" spans="1:8" ht="12.75">
      <c r="A74" s="4" t="s">
        <v>158</v>
      </c>
      <c r="B74" s="4">
        <f t="shared" si="0"/>
        <v>72</v>
      </c>
      <c r="C74" s="4" t="s">
        <v>134</v>
      </c>
      <c r="D74" s="5" t="s">
        <v>159</v>
      </c>
      <c r="E74" s="4">
        <v>31</v>
      </c>
      <c r="F74" s="9" t="s">
        <v>11</v>
      </c>
      <c r="G74" s="4">
        <f t="shared" si="7"/>
        <v>521</v>
      </c>
      <c r="H74" s="1" t="s">
        <v>45</v>
      </c>
    </row>
    <row r="75" spans="1:8" ht="12.75">
      <c r="A75" s="4" t="s">
        <v>160</v>
      </c>
      <c r="B75" s="4">
        <f t="shared" si="0"/>
        <v>73</v>
      </c>
      <c r="C75" s="4" t="s">
        <v>134</v>
      </c>
      <c r="D75" s="5" t="s">
        <v>161</v>
      </c>
      <c r="E75" s="4">
        <v>31</v>
      </c>
      <c r="F75" s="9" t="s">
        <v>11</v>
      </c>
      <c r="G75" s="4">
        <f t="shared" si="7"/>
        <v>564</v>
      </c>
      <c r="H75" s="1" t="s">
        <v>45</v>
      </c>
    </row>
    <row r="76" spans="1:8" ht="12.75">
      <c r="A76" s="4" t="s">
        <v>162</v>
      </c>
      <c r="B76" s="4">
        <f t="shared" si="0"/>
        <v>74</v>
      </c>
      <c r="C76" s="4" t="s">
        <v>134</v>
      </c>
      <c r="D76" s="5" t="s">
        <v>163</v>
      </c>
      <c r="E76" s="4">
        <v>31</v>
      </c>
      <c r="F76" s="9" t="s">
        <v>11</v>
      </c>
      <c r="G76" s="4">
        <f t="shared" si="7"/>
        <v>585</v>
      </c>
      <c r="H76" s="1" t="s">
        <v>45</v>
      </c>
    </row>
    <row r="77" spans="1:8" ht="12.75">
      <c r="A77" s="4" t="s">
        <v>164</v>
      </c>
      <c r="B77" s="4">
        <f t="shared" si="0"/>
        <v>75</v>
      </c>
      <c r="C77" s="4" t="s">
        <v>134</v>
      </c>
      <c r="D77" s="5" t="s">
        <v>165</v>
      </c>
      <c r="E77" s="4">
        <v>31</v>
      </c>
      <c r="F77" s="9" t="s">
        <v>11</v>
      </c>
      <c r="G77" s="4">
        <f t="shared" si="7"/>
        <v>627</v>
      </c>
      <c r="H77" s="1" t="s">
        <v>45</v>
      </c>
    </row>
    <row r="78" spans="1:8" ht="12.75">
      <c r="A78" s="4" t="s">
        <v>166</v>
      </c>
      <c r="B78" s="4">
        <f t="shared" si="0"/>
        <v>76</v>
      </c>
      <c r="C78" s="4" t="s">
        <v>134</v>
      </c>
      <c r="D78" s="5" t="s">
        <v>167</v>
      </c>
      <c r="E78" s="4">
        <v>41</v>
      </c>
      <c r="F78" s="9" t="s">
        <v>11</v>
      </c>
      <c r="G78" s="4">
        <f t="shared" si="7"/>
        <v>2649</v>
      </c>
      <c r="H78" s="1" t="s">
        <v>30</v>
      </c>
    </row>
    <row r="79" spans="1:8" ht="12.75">
      <c r="A79" s="4" t="s">
        <v>168</v>
      </c>
      <c r="B79" s="4">
        <f t="shared" si="0"/>
        <v>77</v>
      </c>
      <c r="C79" s="4" t="s">
        <v>134</v>
      </c>
      <c r="D79" s="5" t="s">
        <v>169</v>
      </c>
      <c r="E79" s="4">
        <v>41</v>
      </c>
      <c r="F79" s="9" t="s">
        <v>11</v>
      </c>
      <c r="G79" s="4">
        <f t="shared" si="7"/>
        <v>1981</v>
      </c>
      <c r="H79" s="1" t="s">
        <v>30</v>
      </c>
    </row>
    <row r="80" spans="1:8" ht="12.75">
      <c r="A80" s="4" t="s">
        <v>170</v>
      </c>
      <c r="B80" s="4">
        <f t="shared" si="0"/>
        <v>78</v>
      </c>
      <c r="C80" s="4" t="s">
        <v>134</v>
      </c>
      <c r="D80" s="5" t="s">
        <v>171</v>
      </c>
      <c r="E80" s="4">
        <v>41</v>
      </c>
      <c r="F80" s="9" t="s">
        <v>11</v>
      </c>
      <c r="G80" s="4">
        <f t="shared" si="7"/>
        <v>2281</v>
      </c>
      <c r="H80" s="1" t="s">
        <v>30</v>
      </c>
    </row>
    <row r="81" spans="1:8" ht="12.75">
      <c r="A81" s="4" t="s">
        <v>172</v>
      </c>
      <c r="B81" s="4">
        <f t="shared" si="0"/>
        <v>79</v>
      </c>
      <c r="C81" s="4" t="s">
        <v>134</v>
      </c>
      <c r="D81" s="5" t="s">
        <v>173</v>
      </c>
      <c r="E81" s="4">
        <v>41</v>
      </c>
      <c r="F81" s="9" t="s">
        <v>11</v>
      </c>
      <c r="G81" s="4">
        <f t="shared" si="7"/>
        <v>2742</v>
      </c>
      <c r="H81" s="1" t="s">
        <v>30</v>
      </c>
    </row>
    <row r="82" spans="1:8" ht="12.75">
      <c r="A82" s="6" t="s">
        <v>174</v>
      </c>
      <c r="B82" s="6">
        <f t="shared" si="0"/>
        <v>80</v>
      </c>
      <c r="C82" s="6" t="s">
        <v>93</v>
      </c>
      <c r="D82" s="7" t="s">
        <v>175</v>
      </c>
      <c r="E82" s="6">
        <v>1</v>
      </c>
      <c r="F82" s="6" t="s">
        <v>11</v>
      </c>
      <c r="G82" s="6">
        <f t="shared" ref="G82:G101" si="8">G22</f>
        <v>14</v>
      </c>
      <c r="H82" s="1" t="s">
        <v>12</v>
      </c>
    </row>
    <row r="83" spans="1:8" ht="12.75">
      <c r="A83" s="6" t="s">
        <v>176</v>
      </c>
      <c r="B83" s="6">
        <f t="shared" si="0"/>
        <v>81</v>
      </c>
      <c r="C83" s="6" t="s">
        <v>93</v>
      </c>
      <c r="D83" s="7" t="s">
        <v>177</v>
      </c>
      <c r="E83" s="6">
        <v>1</v>
      </c>
      <c r="F83" s="6" t="s">
        <v>11</v>
      </c>
      <c r="G83" s="6">
        <f t="shared" si="8"/>
        <v>16</v>
      </c>
      <c r="H83" s="1" t="s">
        <v>12</v>
      </c>
    </row>
    <row r="84" spans="1:8" ht="12.75">
      <c r="A84" s="6" t="s">
        <v>178</v>
      </c>
      <c r="B84" s="6">
        <f t="shared" si="0"/>
        <v>82</v>
      </c>
      <c r="C84" s="6" t="s">
        <v>93</v>
      </c>
      <c r="D84" s="7" t="s">
        <v>179</v>
      </c>
      <c r="E84" s="6">
        <v>1</v>
      </c>
      <c r="F84" s="6" t="s">
        <v>11</v>
      </c>
      <c r="G84" s="6">
        <f t="shared" si="8"/>
        <v>18</v>
      </c>
      <c r="H84" s="1" t="s">
        <v>12</v>
      </c>
    </row>
    <row r="85" spans="1:8" ht="12.75">
      <c r="A85" s="6" t="s">
        <v>180</v>
      </c>
      <c r="B85" s="6">
        <f t="shared" si="0"/>
        <v>83</v>
      </c>
      <c r="C85" s="6" t="s">
        <v>93</v>
      </c>
      <c r="D85" s="7" t="s">
        <v>181</v>
      </c>
      <c r="E85" s="6">
        <v>1</v>
      </c>
      <c r="F85" s="6" t="s">
        <v>11</v>
      </c>
      <c r="G85" s="6">
        <f t="shared" si="8"/>
        <v>20</v>
      </c>
      <c r="H85" s="1" t="s">
        <v>12</v>
      </c>
    </row>
    <row r="86" spans="1:8" ht="12.75">
      <c r="A86" s="6" t="s">
        <v>182</v>
      </c>
      <c r="B86" s="6">
        <f t="shared" si="0"/>
        <v>84</v>
      </c>
      <c r="C86" s="6" t="s">
        <v>93</v>
      </c>
      <c r="D86" s="7" t="s">
        <v>183</v>
      </c>
      <c r="E86" s="6">
        <v>11</v>
      </c>
      <c r="F86" s="6" t="s">
        <v>11</v>
      </c>
      <c r="G86" s="6">
        <f t="shared" si="8"/>
        <v>63</v>
      </c>
      <c r="H86" s="1" t="s">
        <v>37</v>
      </c>
    </row>
    <row r="87" spans="1:8" ht="12.75">
      <c r="A87" s="6" t="s">
        <v>184</v>
      </c>
      <c r="B87" s="6">
        <f t="shared" si="0"/>
        <v>85</v>
      </c>
      <c r="C87" s="6" t="s">
        <v>93</v>
      </c>
      <c r="D87" s="7" t="s">
        <v>185</v>
      </c>
      <c r="E87" s="6">
        <v>11</v>
      </c>
      <c r="F87" s="6" t="s">
        <v>11</v>
      </c>
      <c r="G87" s="6">
        <f t="shared" si="8"/>
        <v>70</v>
      </c>
      <c r="H87" s="1" t="s">
        <v>37</v>
      </c>
    </row>
    <row r="88" spans="1:8" ht="12.75">
      <c r="A88" s="6" t="s">
        <v>186</v>
      </c>
      <c r="B88" s="6">
        <f t="shared" si="0"/>
        <v>86</v>
      </c>
      <c r="C88" s="6" t="s">
        <v>93</v>
      </c>
      <c r="D88" s="7" t="s">
        <v>187</v>
      </c>
      <c r="E88" s="6">
        <v>11</v>
      </c>
      <c r="F88" s="6" t="s">
        <v>11</v>
      </c>
      <c r="G88" s="6">
        <f t="shared" si="8"/>
        <v>65</v>
      </c>
      <c r="H88" s="1" t="s">
        <v>37</v>
      </c>
    </row>
    <row r="89" spans="1:8" ht="12.75">
      <c r="A89" s="6" t="s">
        <v>188</v>
      </c>
      <c r="B89" s="6">
        <f t="shared" si="0"/>
        <v>87</v>
      </c>
      <c r="C89" s="6" t="s">
        <v>93</v>
      </c>
      <c r="D89" s="7" t="s">
        <v>189</v>
      </c>
      <c r="E89" s="6">
        <v>11</v>
      </c>
      <c r="F89" s="6" t="s">
        <v>11</v>
      </c>
      <c r="G89" s="6">
        <f t="shared" si="8"/>
        <v>64</v>
      </c>
      <c r="H89" s="1" t="s">
        <v>37</v>
      </c>
    </row>
    <row r="90" spans="1:8" ht="12.75">
      <c r="A90" s="6" t="s">
        <v>190</v>
      </c>
      <c r="B90" s="6">
        <f t="shared" si="0"/>
        <v>88</v>
      </c>
      <c r="C90" s="6" t="s">
        <v>93</v>
      </c>
      <c r="D90" s="7" t="s">
        <v>191</v>
      </c>
      <c r="E90" s="6">
        <v>21</v>
      </c>
      <c r="F90" s="6" t="s">
        <v>11</v>
      </c>
      <c r="G90" s="6">
        <f t="shared" si="8"/>
        <v>334</v>
      </c>
      <c r="H90" s="1" t="s">
        <v>21</v>
      </c>
    </row>
    <row r="91" spans="1:8" ht="12.75">
      <c r="A91" s="6" t="s">
        <v>192</v>
      </c>
      <c r="B91" s="6">
        <f t="shared" si="0"/>
        <v>89</v>
      </c>
      <c r="C91" s="6" t="s">
        <v>93</v>
      </c>
      <c r="D91" s="7" t="s">
        <v>193</v>
      </c>
      <c r="E91" s="6">
        <v>21</v>
      </c>
      <c r="F91" s="6" t="s">
        <v>11</v>
      </c>
      <c r="G91" s="6">
        <f t="shared" si="8"/>
        <v>312</v>
      </c>
      <c r="H91" s="1" t="s">
        <v>21</v>
      </c>
    </row>
    <row r="92" spans="1:8" ht="12.75">
      <c r="A92" s="6" t="s">
        <v>194</v>
      </c>
      <c r="B92" s="6">
        <f t="shared" si="0"/>
        <v>90</v>
      </c>
      <c r="C92" s="6" t="s">
        <v>93</v>
      </c>
      <c r="D92" s="7" t="s">
        <v>195</v>
      </c>
      <c r="E92" s="6">
        <v>21</v>
      </c>
      <c r="F92" s="6" t="s">
        <v>11</v>
      </c>
      <c r="G92" s="6">
        <f t="shared" si="8"/>
        <v>346</v>
      </c>
      <c r="H92" s="1" t="s">
        <v>21</v>
      </c>
    </row>
    <row r="93" spans="1:8" ht="12.75">
      <c r="A93" s="6" t="s">
        <v>196</v>
      </c>
      <c r="B93" s="6">
        <f t="shared" si="0"/>
        <v>91</v>
      </c>
      <c r="C93" s="6" t="s">
        <v>93</v>
      </c>
      <c r="D93" s="7" t="s">
        <v>197</v>
      </c>
      <c r="E93" s="6">
        <v>21</v>
      </c>
      <c r="F93" s="6" t="s">
        <v>11</v>
      </c>
      <c r="G93" s="6">
        <f t="shared" si="8"/>
        <v>268</v>
      </c>
      <c r="H93" s="1" t="s">
        <v>21</v>
      </c>
    </row>
    <row r="94" spans="1:8" ht="12.75">
      <c r="A94" s="6" t="s">
        <v>198</v>
      </c>
      <c r="B94" s="6">
        <f t="shared" si="0"/>
        <v>92</v>
      </c>
      <c r="C94" s="6" t="s">
        <v>93</v>
      </c>
      <c r="D94" s="7" t="s">
        <v>199</v>
      </c>
      <c r="E94" s="6">
        <v>31</v>
      </c>
      <c r="F94" s="6" t="s">
        <v>11</v>
      </c>
      <c r="G94" s="6">
        <f t="shared" si="8"/>
        <v>1042</v>
      </c>
      <c r="H94" s="1" t="s">
        <v>45</v>
      </c>
    </row>
    <row r="95" spans="1:8" ht="12.75">
      <c r="A95" s="6" t="s">
        <v>200</v>
      </c>
      <c r="B95" s="6">
        <f t="shared" si="0"/>
        <v>93</v>
      </c>
      <c r="C95" s="6" t="s">
        <v>93</v>
      </c>
      <c r="D95" s="7" t="s">
        <v>201</v>
      </c>
      <c r="E95" s="6">
        <v>31</v>
      </c>
      <c r="F95" s="6" t="s">
        <v>11</v>
      </c>
      <c r="G95" s="6">
        <f t="shared" si="8"/>
        <v>1129</v>
      </c>
      <c r="H95" s="1" t="s">
        <v>45</v>
      </c>
    </row>
    <row r="96" spans="1:8" ht="12.75">
      <c r="A96" s="6" t="s">
        <v>202</v>
      </c>
      <c r="B96" s="6">
        <f t="shared" si="0"/>
        <v>94</v>
      </c>
      <c r="C96" s="6" t="s">
        <v>93</v>
      </c>
      <c r="D96" s="7" t="s">
        <v>203</v>
      </c>
      <c r="E96" s="6">
        <v>31</v>
      </c>
      <c r="F96" s="6" t="s">
        <v>11</v>
      </c>
      <c r="G96" s="6">
        <f t="shared" si="8"/>
        <v>1171</v>
      </c>
      <c r="H96" s="1" t="s">
        <v>45</v>
      </c>
    </row>
    <row r="97" spans="1:8" ht="12.75">
      <c r="A97" s="6" t="s">
        <v>204</v>
      </c>
      <c r="B97" s="6">
        <f t="shared" si="0"/>
        <v>95</v>
      </c>
      <c r="C97" s="6" t="s">
        <v>93</v>
      </c>
      <c r="D97" s="7" t="s">
        <v>205</v>
      </c>
      <c r="E97" s="6">
        <v>31</v>
      </c>
      <c r="F97" s="6" t="s">
        <v>11</v>
      </c>
      <c r="G97" s="6">
        <f t="shared" si="8"/>
        <v>1254</v>
      </c>
      <c r="H97" s="1" t="s">
        <v>45</v>
      </c>
    </row>
    <row r="98" spans="1:8" ht="12.75">
      <c r="A98" s="6" t="s">
        <v>206</v>
      </c>
      <c r="B98" s="6">
        <f t="shared" si="0"/>
        <v>96</v>
      </c>
      <c r="C98" s="6" t="s">
        <v>93</v>
      </c>
      <c r="D98" s="7" t="s">
        <v>207</v>
      </c>
      <c r="E98" s="6">
        <v>41</v>
      </c>
      <c r="F98" s="6" t="s">
        <v>11</v>
      </c>
      <c r="G98" s="6">
        <f t="shared" si="8"/>
        <v>5298</v>
      </c>
      <c r="H98" s="1" t="s">
        <v>30</v>
      </c>
    </row>
    <row r="99" spans="1:8" ht="12.75">
      <c r="A99" s="6" t="s">
        <v>208</v>
      </c>
      <c r="B99" s="6">
        <f t="shared" si="0"/>
        <v>97</v>
      </c>
      <c r="C99" s="6" t="s">
        <v>93</v>
      </c>
      <c r="D99" s="7" t="s">
        <v>209</v>
      </c>
      <c r="E99" s="6">
        <v>41</v>
      </c>
      <c r="F99" s="6" t="s">
        <v>11</v>
      </c>
      <c r="G99" s="6">
        <f t="shared" si="8"/>
        <v>3963</v>
      </c>
      <c r="H99" s="1" t="s">
        <v>30</v>
      </c>
    </row>
    <row r="100" spans="1:8" ht="12.75">
      <c r="A100" s="6" t="s">
        <v>210</v>
      </c>
      <c r="B100" s="6">
        <f t="shared" si="0"/>
        <v>98</v>
      </c>
      <c r="C100" s="6" t="s">
        <v>93</v>
      </c>
      <c r="D100" s="7" t="s">
        <v>211</v>
      </c>
      <c r="E100" s="6">
        <v>41</v>
      </c>
      <c r="F100" s="6" t="s">
        <v>11</v>
      </c>
      <c r="G100" s="6">
        <f t="shared" si="8"/>
        <v>4563</v>
      </c>
      <c r="H100" s="1" t="s">
        <v>30</v>
      </c>
    </row>
    <row r="101" spans="1:8" ht="12.75">
      <c r="A101" s="6" t="s">
        <v>212</v>
      </c>
      <c r="B101" s="6">
        <f t="shared" si="0"/>
        <v>99</v>
      </c>
      <c r="C101" s="6" t="s">
        <v>93</v>
      </c>
      <c r="D101" s="7" t="s">
        <v>213</v>
      </c>
      <c r="E101" s="6">
        <v>41</v>
      </c>
      <c r="F101" s="6" t="s">
        <v>11</v>
      </c>
      <c r="G101" s="6">
        <f t="shared" si="8"/>
        <v>5484</v>
      </c>
      <c r="H101" s="1" t="s">
        <v>30</v>
      </c>
    </row>
    <row r="102" spans="1:8" ht="12.75">
      <c r="A102" s="9" t="s">
        <v>214</v>
      </c>
      <c r="B102" s="4">
        <f t="shared" si="0"/>
        <v>100</v>
      </c>
      <c r="C102" s="9" t="s">
        <v>93</v>
      </c>
      <c r="D102" s="12" t="s">
        <v>215</v>
      </c>
      <c r="E102" s="4">
        <v>1</v>
      </c>
      <c r="F102" s="9" t="s">
        <v>11</v>
      </c>
      <c r="G102" s="13">
        <f t="shared" ref="G102:G121" si="9">2*G22</f>
        <v>28</v>
      </c>
      <c r="H102" s="1" t="s">
        <v>12</v>
      </c>
    </row>
    <row r="103" spans="1:8" ht="12.75">
      <c r="A103" s="9" t="s">
        <v>216</v>
      </c>
      <c r="B103" s="4">
        <f t="shared" si="0"/>
        <v>101</v>
      </c>
      <c r="C103" s="9" t="s">
        <v>93</v>
      </c>
      <c r="D103" s="12" t="s">
        <v>217</v>
      </c>
      <c r="E103" s="4">
        <v>1</v>
      </c>
      <c r="F103" s="9" t="s">
        <v>11</v>
      </c>
      <c r="G103" s="13">
        <f t="shared" si="9"/>
        <v>32</v>
      </c>
      <c r="H103" s="1" t="s">
        <v>12</v>
      </c>
    </row>
    <row r="104" spans="1:8" ht="12.75">
      <c r="A104" s="9" t="s">
        <v>218</v>
      </c>
      <c r="B104" s="4">
        <f t="shared" si="0"/>
        <v>102</v>
      </c>
      <c r="C104" s="9" t="s">
        <v>93</v>
      </c>
      <c r="D104" s="12" t="s">
        <v>219</v>
      </c>
      <c r="E104" s="4">
        <v>1</v>
      </c>
      <c r="F104" s="9" t="s">
        <v>11</v>
      </c>
      <c r="G104" s="13">
        <f t="shared" si="9"/>
        <v>36</v>
      </c>
      <c r="H104" s="1" t="s">
        <v>12</v>
      </c>
    </row>
    <row r="105" spans="1:8" ht="12.75">
      <c r="A105" s="9" t="s">
        <v>220</v>
      </c>
      <c r="B105" s="4">
        <f t="shared" si="0"/>
        <v>103</v>
      </c>
      <c r="C105" s="9" t="s">
        <v>93</v>
      </c>
      <c r="D105" s="12" t="s">
        <v>221</v>
      </c>
      <c r="E105" s="4">
        <v>1</v>
      </c>
      <c r="F105" s="9" t="s">
        <v>11</v>
      </c>
      <c r="G105" s="13">
        <f t="shared" si="9"/>
        <v>40</v>
      </c>
      <c r="H105" s="1" t="s">
        <v>12</v>
      </c>
    </row>
    <row r="106" spans="1:8" ht="12.75">
      <c r="A106" s="9" t="s">
        <v>222</v>
      </c>
      <c r="B106" s="4">
        <f t="shared" si="0"/>
        <v>104</v>
      </c>
      <c r="C106" s="9" t="s">
        <v>93</v>
      </c>
      <c r="D106" s="12" t="s">
        <v>223</v>
      </c>
      <c r="E106" s="4">
        <v>11</v>
      </c>
      <c r="F106" s="9" t="s">
        <v>11</v>
      </c>
      <c r="G106" s="13">
        <f t="shared" si="9"/>
        <v>126</v>
      </c>
      <c r="H106" s="1" t="s">
        <v>37</v>
      </c>
    </row>
    <row r="107" spans="1:8" ht="12.75">
      <c r="A107" s="9" t="s">
        <v>224</v>
      </c>
      <c r="B107" s="4">
        <f t="shared" si="0"/>
        <v>105</v>
      </c>
      <c r="C107" s="9" t="s">
        <v>93</v>
      </c>
      <c r="D107" s="12" t="s">
        <v>225</v>
      </c>
      <c r="E107" s="4">
        <v>11</v>
      </c>
      <c r="F107" s="9" t="s">
        <v>11</v>
      </c>
      <c r="G107" s="13">
        <f t="shared" si="9"/>
        <v>140</v>
      </c>
      <c r="H107" s="1" t="s">
        <v>37</v>
      </c>
    </row>
    <row r="108" spans="1:8" ht="12.75">
      <c r="A108" s="9" t="s">
        <v>226</v>
      </c>
      <c r="B108" s="4">
        <f t="shared" si="0"/>
        <v>106</v>
      </c>
      <c r="C108" s="9" t="s">
        <v>93</v>
      </c>
      <c r="D108" s="12" t="s">
        <v>227</v>
      </c>
      <c r="E108" s="4">
        <v>11</v>
      </c>
      <c r="F108" s="9" t="s">
        <v>11</v>
      </c>
      <c r="G108" s="13">
        <f t="shared" si="9"/>
        <v>130</v>
      </c>
      <c r="H108" s="1" t="s">
        <v>37</v>
      </c>
    </row>
    <row r="109" spans="1:8" ht="12.75">
      <c r="A109" s="9" t="s">
        <v>228</v>
      </c>
      <c r="B109" s="4">
        <f t="shared" si="0"/>
        <v>107</v>
      </c>
      <c r="C109" s="9" t="s">
        <v>93</v>
      </c>
      <c r="D109" s="12" t="s">
        <v>229</v>
      </c>
      <c r="E109" s="4">
        <v>11</v>
      </c>
      <c r="F109" s="9" t="s">
        <v>11</v>
      </c>
      <c r="G109" s="13">
        <f t="shared" si="9"/>
        <v>128</v>
      </c>
      <c r="H109" s="1" t="s">
        <v>37</v>
      </c>
    </row>
    <row r="110" spans="1:8" ht="12.75">
      <c r="A110" s="9" t="s">
        <v>230</v>
      </c>
      <c r="B110" s="4">
        <f t="shared" si="0"/>
        <v>108</v>
      </c>
      <c r="C110" s="9" t="s">
        <v>93</v>
      </c>
      <c r="D110" s="12" t="s">
        <v>231</v>
      </c>
      <c r="E110" s="4">
        <v>21</v>
      </c>
      <c r="F110" s="9" t="s">
        <v>11</v>
      </c>
      <c r="G110" s="13">
        <f t="shared" si="9"/>
        <v>668</v>
      </c>
      <c r="H110" s="1" t="s">
        <v>21</v>
      </c>
    </row>
    <row r="111" spans="1:8" ht="12.75">
      <c r="A111" s="9" t="s">
        <v>232</v>
      </c>
      <c r="B111" s="4">
        <f t="shared" si="0"/>
        <v>109</v>
      </c>
      <c r="C111" s="9" t="s">
        <v>93</v>
      </c>
      <c r="D111" s="12" t="s">
        <v>233</v>
      </c>
      <c r="E111" s="4">
        <v>21</v>
      </c>
      <c r="F111" s="9" t="s">
        <v>11</v>
      </c>
      <c r="G111" s="13">
        <f t="shared" si="9"/>
        <v>624</v>
      </c>
      <c r="H111" s="1" t="s">
        <v>21</v>
      </c>
    </row>
    <row r="112" spans="1:8" ht="12.75">
      <c r="A112" s="9" t="s">
        <v>234</v>
      </c>
      <c r="B112" s="4">
        <f t="shared" si="0"/>
        <v>110</v>
      </c>
      <c r="C112" s="9" t="s">
        <v>93</v>
      </c>
      <c r="D112" s="12" t="s">
        <v>235</v>
      </c>
      <c r="E112" s="4">
        <v>21</v>
      </c>
      <c r="F112" s="9" t="s">
        <v>11</v>
      </c>
      <c r="G112" s="13">
        <f t="shared" si="9"/>
        <v>692</v>
      </c>
      <c r="H112" s="1" t="s">
        <v>21</v>
      </c>
    </row>
    <row r="113" spans="1:8" ht="12.75">
      <c r="A113" s="9" t="s">
        <v>236</v>
      </c>
      <c r="B113" s="4">
        <f t="shared" si="0"/>
        <v>111</v>
      </c>
      <c r="C113" s="9" t="s">
        <v>93</v>
      </c>
      <c r="D113" s="12" t="s">
        <v>237</v>
      </c>
      <c r="E113" s="4">
        <v>21</v>
      </c>
      <c r="F113" s="9" t="s">
        <v>11</v>
      </c>
      <c r="G113" s="13">
        <f t="shared" si="9"/>
        <v>536</v>
      </c>
      <c r="H113" s="1" t="s">
        <v>21</v>
      </c>
    </row>
    <row r="114" spans="1:8" ht="12.75">
      <c r="A114" s="9" t="s">
        <v>238</v>
      </c>
      <c r="B114" s="4">
        <f t="shared" si="0"/>
        <v>112</v>
      </c>
      <c r="C114" s="9" t="s">
        <v>93</v>
      </c>
      <c r="D114" s="12" t="s">
        <v>239</v>
      </c>
      <c r="E114" s="4">
        <v>31</v>
      </c>
      <c r="F114" s="9" t="s">
        <v>11</v>
      </c>
      <c r="G114" s="13">
        <f t="shared" si="9"/>
        <v>2084</v>
      </c>
      <c r="H114" s="1" t="s">
        <v>45</v>
      </c>
    </row>
    <row r="115" spans="1:8" ht="12.75">
      <c r="A115" s="9" t="s">
        <v>240</v>
      </c>
      <c r="B115" s="4">
        <f t="shared" si="0"/>
        <v>113</v>
      </c>
      <c r="C115" s="9" t="s">
        <v>93</v>
      </c>
      <c r="D115" s="12" t="s">
        <v>241</v>
      </c>
      <c r="E115" s="4">
        <v>31</v>
      </c>
      <c r="F115" s="9" t="s">
        <v>11</v>
      </c>
      <c r="G115" s="13">
        <f t="shared" si="9"/>
        <v>2258</v>
      </c>
      <c r="H115" s="1" t="s">
        <v>45</v>
      </c>
    </row>
    <row r="116" spans="1:8" ht="12.75">
      <c r="A116" s="9" t="s">
        <v>242</v>
      </c>
      <c r="B116" s="4">
        <f t="shared" si="0"/>
        <v>114</v>
      </c>
      <c r="C116" s="9" t="s">
        <v>93</v>
      </c>
      <c r="D116" s="12" t="s">
        <v>243</v>
      </c>
      <c r="E116" s="4">
        <v>31</v>
      </c>
      <c r="F116" s="9" t="s">
        <v>11</v>
      </c>
      <c r="G116" s="13">
        <f t="shared" si="9"/>
        <v>2342</v>
      </c>
      <c r="H116" s="1" t="s">
        <v>45</v>
      </c>
    </row>
    <row r="117" spans="1:8" ht="12.75">
      <c r="A117" s="9" t="s">
        <v>244</v>
      </c>
      <c r="B117" s="4">
        <f t="shared" si="0"/>
        <v>115</v>
      </c>
      <c r="C117" s="9" t="s">
        <v>93</v>
      </c>
      <c r="D117" s="12" t="s">
        <v>245</v>
      </c>
      <c r="E117" s="4">
        <v>31</v>
      </c>
      <c r="F117" s="9" t="s">
        <v>11</v>
      </c>
      <c r="G117" s="13">
        <f t="shared" si="9"/>
        <v>2508</v>
      </c>
      <c r="H117" s="1" t="s">
        <v>45</v>
      </c>
    </row>
    <row r="118" spans="1:8" ht="12.75">
      <c r="A118" s="9" t="s">
        <v>246</v>
      </c>
      <c r="B118" s="4">
        <f t="shared" si="0"/>
        <v>116</v>
      </c>
      <c r="C118" s="9" t="s">
        <v>93</v>
      </c>
      <c r="D118" s="12" t="s">
        <v>247</v>
      </c>
      <c r="E118" s="4">
        <v>41</v>
      </c>
      <c r="F118" s="9" t="s">
        <v>11</v>
      </c>
      <c r="G118" s="13">
        <f t="shared" si="9"/>
        <v>10596</v>
      </c>
      <c r="H118" s="1" t="s">
        <v>30</v>
      </c>
    </row>
    <row r="119" spans="1:8" ht="12.75">
      <c r="A119" s="9" t="s">
        <v>248</v>
      </c>
      <c r="B119" s="4">
        <f t="shared" si="0"/>
        <v>117</v>
      </c>
      <c r="C119" s="9" t="s">
        <v>93</v>
      </c>
      <c r="D119" s="12" t="s">
        <v>249</v>
      </c>
      <c r="E119" s="4">
        <v>41</v>
      </c>
      <c r="F119" s="9" t="s">
        <v>11</v>
      </c>
      <c r="G119" s="13">
        <f t="shared" si="9"/>
        <v>7926</v>
      </c>
      <c r="H119" s="1" t="s">
        <v>30</v>
      </c>
    </row>
    <row r="120" spans="1:8" ht="12.75">
      <c r="A120" s="9" t="s">
        <v>250</v>
      </c>
      <c r="B120" s="4">
        <f t="shared" si="0"/>
        <v>118</v>
      </c>
      <c r="C120" s="9" t="s">
        <v>93</v>
      </c>
      <c r="D120" s="12" t="s">
        <v>251</v>
      </c>
      <c r="E120" s="4">
        <v>41</v>
      </c>
      <c r="F120" s="9" t="s">
        <v>11</v>
      </c>
      <c r="G120" s="13">
        <f t="shared" si="9"/>
        <v>9126</v>
      </c>
      <c r="H120" s="1" t="s">
        <v>30</v>
      </c>
    </row>
    <row r="121" spans="1:8" ht="12.75">
      <c r="A121" s="9" t="s">
        <v>252</v>
      </c>
      <c r="B121" s="4">
        <f t="shared" si="0"/>
        <v>119</v>
      </c>
      <c r="C121" s="9" t="s">
        <v>93</v>
      </c>
      <c r="D121" s="12" t="s">
        <v>253</v>
      </c>
      <c r="E121" s="4">
        <v>41</v>
      </c>
      <c r="F121" s="9" t="s">
        <v>11</v>
      </c>
      <c r="G121" s="13">
        <f t="shared" si="9"/>
        <v>10968</v>
      </c>
      <c r="H121" s="1" t="s">
        <v>30</v>
      </c>
    </row>
    <row r="122" spans="1:8" ht="12.75">
      <c r="A122" s="6" t="s">
        <v>254</v>
      </c>
      <c r="B122" s="6">
        <f t="shared" si="0"/>
        <v>120</v>
      </c>
      <c r="C122" s="6" t="s">
        <v>255</v>
      </c>
      <c r="D122" s="7" t="s">
        <v>10</v>
      </c>
      <c r="E122" s="6">
        <v>1</v>
      </c>
      <c r="F122" s="6" t="s">
        <v>11</v>
      </c>
      <c r="G122" s="6">
        <v>50</v>
      </c>
      <c r="H122" s="1" t="s">
        <v>12</v>
      </c>
    </row>
    <row r="123" spans="1:8" ht="12.75">
      <c r="A123" s="6" t="s">
        <v>256</v>
      </c>
      <c r="B123" s="6">
        <f t="shared" si="0"/>
        <v>121</v>
      </c>
      <c r="C123" s="6" t="s">
        <v>255</v>
      </c>
      <c r="D123" s="7" t="s">
        <v>14</v>
      </c>
      <c r="E123" s="6">
        <v>1</v>
      </c>
      <c r="F123" s="6" t="s">
        <v>11</v>
      </c>
      <c r="G123" s="6">
        <v>29</v>
      </c>
      <c r="H123" s="1" t="s">
        <v>12</v>
      </c>
    </row>
    <row r="124" spans="1:8" ht="12.75">
      <c r="A124" s="6" t="s">
        <v>257</v>
      </c>
      <c r="B124" s="6">
        <f t="shared" si="0"/>
        <v>122</v>
      </c>
      <c r="C124" s="6" t="s">
        <v>255</v>
      </c>
      <c r="D124" s="7" t="s">
        <v>16</v>
      </c>
      <c r="E124" s="6">
        <v>1</v>
      </c>
      <c r="F124" s="6" t="s">
        <v>11</v>
      </c>
      <c r="G124" s="6">
        <v>15</v>
      </c>
      <c r="H124" s="1" t="s">
        <v>12</v>
      </c>
    </row>
    <row r="125" spans="1:8" ht="12.75">
      <c r="A125" s="6" t="s">
        <v>258</v>
      </c>
      <c r="B125" s="6">
        <f t="shared" si="0"/>
        <v>123</v>
      </c>
      <c r="C125" s="6" t="s">
        <v>255</v>
      </c>
      <c r="D125" s="7" t="s">
        <v>18</v>
      </c>
      <c r="E125" s="6">
        <v>1</v>
      </c>
      <c r="F125" s="6" t="s">
        <v>11</v>
      </c>
      <c r="G125" s="6">
        <v>23</v>
      </c>
      <c r="H125" s="1" t="s">
        <v>12</v>
      </c>
    </row>
    <row r="126" spans="1:8" ht="12.75">
      <c r="A126" s="6" t="s">
        <v>259</v>
      </c>
      <c r="B126" s="6">
        <f t="shared" si="0"/>
        <v>124</v>
      </c>
      <c r="C126" s="6" t="s">
        <v>255</v>
      </c>
      <c r="D126" s="7" t="s">
        <v>20</v>
      </c>
      <c r="E126" s="6">
        <v>11</v>
      </c>
      <c r="F126" s="6" t="s">
        <v>11</v>
      </c>
      <c r="G126" s="6">
        <v>645</v>
      </c>
      <c r="H126" s="1" t="s">
        <v>37</v>
      </c>
    </row>
    <row r="127" spans="1:8" ht="12.75">
      <c r="A127" s="6" t="s">
        <v>260</v>
      </c>
      <c r="B127" s="6">
        <f t="shared" si="0"/>
        <v>125</v>
      </c>
      <c r="C127" s="6" t="s">
        <v>255</v>
      </c>
      <c r="D127" s="7" t="s">
        <v>23</v>
      </c>
      <c r="E127" s="6">
        <v>11</v>
      </c>
      <c r="F127" s="6" t="s">
        <v>11</v>
      </c>
      <c r="G127" s="6">
        <v>680</v>
      </c>
      <c r="H127" s="1" t="s">
        <v>37</v>
      </c>
    </row>
    <row r="128" spans="1:8" ht="12.75">
      <c r="A128" s="6" t="s">
        <v>261</v>
      </c>
      <c r="B128" s="6">
        <f t="shared" si="0"/>
        <v>126</v>
      </c>
      <c r="C128" s="6" t="s">
        <v>255</v>
      </c>
      <c r="D128" s="7" t="s">
        <v>25</v>
      </c>
      <c r="E128" s="6">
        <v>11</v>
      </c>
      <c r="F128" s="6" t="s">
        <v>11</v>
      </c>
      <c r="G128" s="6">
        <v>346</v>
      </c>
      <c r="H128" s="1" t="s">
        <v>37</v>
      </c>
    </row>
    <row r="129" spans="1:8" ht="12.75">
      <c r="A129" s="6" t="s">
        <v>262</v>
      </c>
      <c r="B129" s="6">
        <f t="shared" si="0"/>
        <v>127</v>
      </c>
      <c r="C129" s="6" t="s">
        <v>255</v>
      </c>
      <c r="D129" s="7" t="s">
        <v>27</v>
      </c>
      <c r="E129" s="6">
        <v>11</v>
      </c>
      <c r="F129" s="6" t="s">
        <v>11</v>
      </c>
      <c r="G129" s="6">
        <v>228</v>
      </c>
      <c r="H129" s="1" t="s">
        <v>37</v>
      </c>
    </row>
    <row r="130" spans="1:8" ht="12.75">
      <c r="A130" s="6" t="s">
        <v>263</v>
      </c>
      <c r="B130" s="6">
        <f t="shared" si="0"/>
        <v>128</v>
      </c>
      <c r="C130" s="6" t="s">
        <v>255</v>
      </c>
      <c r="D130" s="7" t="s">
        <v>29</v>
      </c>
      <c r="E130" s="6">
        <v>21</v>
      </c>
      <c r="F130" s="6" t="s">
        <v>11</v>
      </c>
      <c r="G130" s="6">
        <v>3533</v>
      </c>
      <c r="H130" s="1" t="s">
        <v>21</v>
      </c>
    </row>
    <row r="131" spans="1:8" ht="12.75">
      <c r="A131" s="6" t="s">
        <v>264</v>
      </c>
      <c r="B131" s="6">
        <f t="shared" si="0"/>
        <v>129</v>
      </c>
      <c r="C131" s="6" t="s">
        <v>255</v>
      </c>
      <c r="D131" s="7" t="s">
        <v>10</v>
      </c>
      <c r="E131" s="6">
        <v>21</v>
      </c>
      <c r="F131" s="6" t="s">
        <v>11</v>
      </c>
      <c r="G131" s="6">
        <v>1889</v>
      </c>
      <c r="H131" s="1" t="s">
        <v>21</v>
      </c>
    </row>
    <row r="132" spans="1:8" ht="12.75">
      <c r="A132" s="6" t="s">
        <v>265</v>
      </c>
      <c r="B132" s="6">
        <f t="shared" si="0"/>
        <v>130</v>
      </c>
      <c r="C132" s="6" t="s">
        <v>255</v>
      </c>
      <c r="D132" s="7" t="s">
        <v>33</v>
      </c>
      <c r="E132" s="6">
        <v>21</v>
      </c>
      <c r="F132" s="6" t="s">
        <v>11</v>
      </c>
      <c r="G132" s="6">
        <v>2742</v>
      </c>
      <c r="H132" s="1" t="s">
        <v>21</v>
      </c>
    </row>
    <row r="133" spans="1:8" ht="12.75">
      <c r="A133" s="6" t="s">
        <v>266</v>
      </c>
      <c r="B133" s="6">
        <f t="shared" si="0"/>
        <v>131</v>
      </c>
      <c r="C133" s="6" t="s">
        <v>255</v>
      </c>
      <c r="D133" s="7" t="s">
        <v>20</v>
      </c>
      <c r="E133" s="6">
        <v>21</v>
      </c>
      <c r="F133" s="6" t="s">
        <v>11</v>
      </c>
      <c r="G133" s="6">
        <v>3441</v>
      </c>
      <c r="H133" s="1" t="s">
        <v>21</v>
      </c>
    </row>
    <row r="134" spans="1:8" ht="12.75">
      <c r="A134" s="6" t="s">
        <v>267</v>
      </c>
      <c r="B134" s="6">
        <f t="shared" si="0"/>
        <v>132</v>
      </c>
      <c r="C134" s="6" t="s">
        <v>255</v>
      </c>
      <c r="D134" s="7" t="s">
        <v>36</v>
      </c>
      <c r="E134" s="6">
        <v>31</v>
      </c>
      <c r="F134" s="6" t="s">
        <v>11</v>
      </c>
      <c r="G134" s="6">
        <v>3072</v>
      </c>
      <c r="H134" s="1" t="s">
        <v>45</v>
      </c>
    </row>
    <row r="135" spans="1:8" ht="12.75">
      <c r="A135" s="6" t="s">
        <v>268</v>
      </c>
      <c r="B135" s="6">
        <f t="shared" si="0"/>
        <v>133</v>
      </c>
      <c r="C135" s="6" t="s">
        <v>255</v>
      </c>
      <c r="D135" s="7" t="s">
        <v>39</v>
      </c>
      <c r="E135" s="6">
        <v>31</v>
      </c>
      <c r="F135" s="6" t="s">
        <v>11</v>
      </c>
      <c r="G135" s="6">
        <v>9769</v>
      </c>
      <c r="H135" s="1" t="s">
        <v>45</v>
      </c>
    </row>
    <row r="136" spans="1:8" ht="12.75">
      <c r="A136" s="6" t="s">
        <v>269</v>
      </c>
      <c r="B136" s="6">
        <f t="shared" si="0"/>
        <v>134</v>
      </c>
      <c r="C136" s="6" t="s">
        <v>255</v>
      </c>
      <c r="D136" s="7" t="s">
        <v>41</v>
      </c>
      <c r="E136" s="6">
        <v>31</v>
      </c>
      <c r="F136" s="6" t="s">
        <v>11</v>
      </c>
      <c r="G136" s="6">
        <v>1306</v>
      </c>
      <c r="H136" s="1" t="s">
        <v>45</v>
      </c>
    </row>
    <row r="137" spans="1:8" ht="12.75">
      <c r="A137" s="6" t="s">
        <v>270</v>
      </c>
      <c r="B137" s="6">
        <f t="shared" si="0"/>
        <v>135</v>
      </c>
      <c r="C137" s="6" t="s">
        <v>255</v>
      </c>
      <c r="D137" s="7" t="s">
        <v>18</v>
      </c>
      <c r="E137" s="6">
        <v>31</v>
      </c>
      <c r="F137" s="6" t="s">
        <v>11</v>
      </c>
      <c r="G137" s="6">
        <v>8663</v>
      </c>
      <c r="H137" s="1" t="s">
        <v>45</v>
      </c>
    </row>
    <row r="138" spans="1:8" ht="12.75">
      <c r="A138" s="6" t="s">
        <v>271</v>
      </c>
      <c r="B138" s="6">
        <f t="shared" si="0"/>
        <v>136</v>
      </c>
      <c r="C138" s="6" t="s">
        <v>255</v>
      </c>
      <c r="D138" s="7" t="s">
        <v>44</v>
      </c>
      <c r="E138" s="6">
        <v>41</v>
      </c>
      <c r="F138" s="6" t="s">
        <v>11</v>
      </c>
      <c r="G138" s="6">
        <v>10445</v>
      </c>
      <c r="H138" s="1" t="s">
        <v>30</v>
      </c>
    </row>
    <row r="139" spans="1:8" ht="12.75">
      <c r="A139" s="6" t="s">
        <v>272</v>
      </c>
      <c r="B139" s="6">
        <f t="shared" si="0"/>
        <v>137</v>
      </c>
      <c r="C139" s="6" t="s">
        <v>255</v>
      </c>
      <c r="D139" s="7" t="s">
        <v>16</v>
      </c>
      <c r="E139" s="6">
        <v>41</v>
      </c>
      <c r="F139" s="6" t="s">
        <v>11</v>
      </c>
      <c r="G139" s="6">
        <v>76677</v>
      </c>
      <c r="H139" s="1" t="s">
        <v>30</v>
      </c>
    </row>
    <row r="140" spans="1:8" ht="12.75">
      <c r="A140" s="6" t="s">
        <v>273</v>
      </c>
      <c r="B140" s="6">
        <f t="shared" si="0"/>
        <v>138</v>
      </c>
      <c r="C140" s="6" t="s">
        <v>255</v>
      </c>
      <c r="D140" s="7" t="s">
        <v>48</v>
      </c>
      <c r="E140" s="6">
        <v>41</v>
      </c>
      <c r="F140" s="6" t="s">
        <v>11</v>
      </c>
      <c r="G140" s="6">
        <v>68813</v>
      </c>
      <c r="H140" s="1" t="s">
        <v>30</v>
      </c>
    </row>
    <row r="141" spans="1:8" ht="12.75">
      <c r="A141" s="6" t="s">
        <v>274</v>
      </c>
      <c r="B141" s="6">
        <f t="shared" si="0"/>
        <v>139</v>
      </c>
      <c r="C141" s="6" t="s">
        <v>255</v>
      </c>
      <c r="D141" s="7" t="s">
        <v>50</v>
      </c>
      <c r="E141" s="6">
        <v>41</v>
      </c>
      <c r="F141" s="6" t="s">
        <v>11</v>
      </c>
      <c r="G141" s="6">
        <v>50627</v>
      </c>
      <c r="H141" s="1" t="s">
        <v>30</v>
      </c>
    </row>
    <row r="142" spans="1:8" ht="12.75">
      <c r="A142" s="4" t="s">
        <v>275</v>
      </c>
      <c r="B142" s="4">
        <f t="shared" si="0"/>
        <v>140</v>
      </c>
      <c r="C142" s="4" t="s">
        <v>276</v>
      </c>
      <c r="D142" s="5" t="s">
        <v>277</v>
      </c>
      <c r="E142" s="4">
        <v>1</v>
      </c>
      <c r="F142" s="4" t="s">
        <v>11</v>
      </c>
      <c r="G142" s="4">
        <f>G122</f>
        <v>50</v>
      </c>
      <c r="H142" s="1" t="s">
        <v>12</v>
      </c>
    </row>
    <row r="143" spans="1:8" ht="12.75">
      <c r="A143" s="4" t="s">
        <v>278</v>
      </c>
      <c r="B143" s="4">
        <f t="shared" si="0"/>
        <v>141</v>
      </c>
      <c r="C143" s="4" t="s">
        <v>276</v>
      </c>
      <c r="D143" s="5" t="s">
        <v>279</v>
      </c>
      <c r="E143" s="4">
        <v>1</v>
      </c>
      <c r="F143" s="4" t="s">
        <v>11</v>
      </c>
      <c r="G143" s="4">
        <f>2*G123</f>
        <v>58</v>
      </c>
      <c r="H143" s="1" t="s">
        <v>12</v>
      </c>
    </row>
    <row r="144" spans="1:8" ht="12.75">
      <c r="A144" s="4" t="s">
        <v>280</v>
      </c>
      <c r="B144" s="4">
        <f t="shared" si="0"/>
        <v>142</v>
      </c>
      <c r="C144" s="4" t="s">
        <v>276</v>
      </c>
      <c r="D144" s="5" t="s">
        <v>281</v>
      </c>
      <c r="E144" s="4">
        <v>1</v>
      </c>
      <c r="F144" s="4" t="s">
        <v>11</v>
      </c>
      <c r="G144" s="4">
        <f>3*G124</f>
        <v>45</v>
      </c>
      <c r="H144" s="1" t="s">
        <v>12</v>
      </c>
    </row>
    <row r="145" spans="1:8" ht="12.75">
      <c r="A145" s="4" t="s">
        <v>282</v>
      </c>
      <c r="B145" s="4">
        <f t="shared" si="0"/>
        <v>143</v>
      </c>
      <c r="C145" s="4" t="s">
        <v>276</v>
      </c>
      <c r="D145" s="5" t="s">
        <v>283</v>
      </c>
      <c r="E145" s="4">
        <v>1</v>
      </c>
      <c r="F145" s="4" t="s">
        <v>11</v>
      </c>
      <c r="G145" s="4">
        <f>G125*2</f>
        <v>46</v>
      </c>
      <c r="H145" s="1" t="s">
        <v>12</v>
      </c>
    </row>
    <row r="146" spans="1:8" ht="12.75">
      <c r="A146" s="4" t="s">
        <v>284</v>
      </c>
      <c r="B146" s="4">
        <f t="shared" si="0"/>
        <v>144</v>
      </c>
      <c r="C146" s="4" t="s">
        <v>276</v>
      </c>
      <c r="D146" s="5" t="s">
        <v>285</v>
      </c>
      <c r="E146" s="4">
        <v>11</v>
      </c>
      <c r="F146" s="4" t="s">
        <v>11</v>
      </c>
      <c r="G146" s="4">
        <f>G126/3</f>
        <v>215</v>
      </c>
      <c r="H146" s="1" t="s">
        <v>37</v>
      </c>
    </row>
    <row r="147" spans="1:8" ht="12.75">
      <c r="A147" s="4" t="s">
        <v>286</v>
      </c>
      <c r="B147" s="4">
        <f t="shared" si="0"/>
        <v>145</v>
      </c>
      <c r="C147" s="4" t="s">
        <v>276</v>
      </c>
      <c r="D147" s="5" t="s">
        <v>287</v>
      </c>
      <c r="E147" s="4">
        <v>11</v>
      </c>
      <c r="F147" s="4" t="s">
        <v>11</v>
      </c>
      <c r="G147" s="4">
        <f>FLOOR(G127/3,1)</f>
        <v>226</v>
      </c>
      <c r="H147" s="1" t="s">
        <v>37</v>
      </c>
    </row>
    <row r="148" spans="1:8" ht="12.75">
      <c r="A148" s="4" t="s">
        <v>288</v>
      </c>
      <c r="B148" s="4">
        <f t="shared" si="0"/>
        <v>146</v>
      </c>
      <c r="C148" s="4" t="s">
        <v>276</v>
      </c>
      <c r="D148" s="5" t="s">
        <v>289</v>
      </c>
      <c r="E148" s="4">
        <v>11</v>
      </c>
      <c r="F148" s="4" t="s">
        <v>11</v>
      </c>
      <c r="G148" s="4">
        <f>G128/2</f>
        <v>173</v>
      </c>
      <c r="H148" s="1" t="s">
        <v>37</v>
      </c>
    </row>
    <row r="149" spans="1:8" ht="12.75">
      <c r="A149" s="4" t="s">
        <v>290</v>
      </c>
      <c r="B149" s="4">
        <f t="shared" si="0"/>
        <v>147</v>
      </c>
      <c r="C149" s="4" t="s">
        <v>276</v>
      </c>
      <c r="D149" s="5" t="s">
        <v>291</v>
      </c>
      <c r="E149" s="4">
        <v>11</v>
      </c>
      <c r="F149" s="4" t="s">
        <v>11</v>
      </c>
      <c r="G149" s="4">
        <f>G129</f>
        <v>228</v>
      </c>
      <c r="H149" s="1" t="s">
        <v>37</v>
      </c>
    </row>
    <row r="150" spans="1:8" ht="12.75">
      <c r="A150" s="4" t="s">
        <v>292</v>
      </c>
      <c r="B150" s="4">
        <f t="shared" si="0"/>
        <v>148</v>
      </c>
      <c r="C150" s="4" t="s">
        <v>276</v>
      </c>
      <c r="D150" s="5" t="s">
        <v>293</v>
      </c>
      <c r="E150" s="4">
        <v>21</v>
      </c>
      <c r="F150" s="4" t="s">
        <v>11</v>
      </c>
      <c r="G150" s="4">
        <f>FLOOR(G130/4,1)</f>
        <v>883</v>
      </c>
      <c r="H150" s="1" t="s">
        <v>21</v>
      </c>
    </row>
    <row r="151" spans="1:8" ht="12.75">
      <c r="A151" s="4" t="s">
        <v>294</v>
      </c>
      <c r="B151" s="4">
        <f t="shared" si="0"/>
        <v>149</v>
      </c>
      <c r="C151" s="4" t="s">
        <v>276</v>
      </c>
      <c r="D151" s="5" t="s">
        <v>295</v>
      </c>
      <c r="E151" s="4">
        <v>21</v>
      </c>
      <c r="F151" s="4" t="s">
        <v>11</v>
      </c>
      <c r="G151" s="4">
        <f>FLOOR(G131/3,1)</f>
        <v>629</v>
      </c>
      <c r="H151" s="1" t="s">
        <v>21</v>
      </c>
    </row>
    <row r="152" spans="1:8" ht="12.75">
      <c r="A152" s="4" t="s">
        <v>296</v>
      </c>
      <c r="B152" s="4">
        <f t="shared" si="0"/>
        <v>150</v>
      </c>
      <c r="C152" s="4" t="s">
        <v>276</v>
      </c>
      <c r="D152" s="5" t="s">
        <v>297</v>
      </c>
      <c r="E152" s="4">
        <v>21</v>
      </c>
      <c r="F152" s="4" t="s">
        <v>11</v>
      </c>
      <c r="G152" s="4">
        <f>G132/3</f>
        <v>914</v>
      </c>
      <c r="H152" s="1" t="s">
        <v>21</v>
      </c>
    </row>
    <row r="153" spans="1:8" ht="12.75">
      <c r="A153" s="4" t="s">
        <v>298</v>
      </c>
      <c r="B153" s="4">
        <f t="shared" si="0"/>
        <v>151</v>
      </c>
      <c r="C153" s="4" t="s">
        <v>276</v>
      </c>
      <c r="D153" s="5" t="s">
        <v>299</v>
      </c>
      <c r="E153" s="4">
        <v>21</v>
      </c>
      <c r="F153" s="4" t="s">
        <v>11</v>
      </c>
      <c r="G153" s="4">
        <f>FLOOR(G133/4,1)</f>
        <v>860</v>
      </c>
      <c r="H153" s="1" t="s">
        <v>21</v>
      </c>
    </row>
    <row r="154" spans="1:8" ht="12.75">
      <c r="A154" s="4" t="s">
        <v>300</v>
      </c>
      <c r="B154" s="4">
        <f t="shared" si="0"/>
        <v>152</v>
      </c>
      <c r="C154" s="4" t="s">
        <v>276</v>
      </c>
      <c r="D154" s="5" t="s">
        <v>301</v>
      </c>
      <c r="E154" s="4">
        <v>31</v>
      </c>
      <c r="F154" s="4" t="s">
        <v>11</v>
      </c>
      <c r="G154" s="4">
        <f>G134</f>
        <v>3072</v>
      </c>
      <c r="H154" s="1" t="s">
        <v>45</v>
      </c>
    </row>
    <row r="155" spans="1:8" ht="12.75">
      <c r="A155" s="4" t="s">
        <v>302</v>
      </c>
      <c r="B155" s="4">
        <f t="shared" si="0"/>
        <v>153</v>
      </c>
      <c r="C155" s="4" t="s">
        <v>276</v>
      </c>
      <c r="D155" s="5" t="s">
        <v>303</v>
      </c>
      <c r="E155" s="4">
        <v>31</v>
      </c>
      <c r="F155" s="4" t="s">
        <v>11</v>
      </c>
      <c r="G155" s="4">
        <f>FLOOR(G135/3,1)</f>
        <v>3256</v>
      </c>
      <c r="H155" s="1" t="s">
        <v>45</v>
      </c>
    </row>
    <row r="156" spans="1:8" ht="12.75">
      <c r="A156" s="4" t="s">
        <v>304</v>
      </c>
      <c r="B156" s="4">
        <f t="shared" si="0"/>
        <v>154</v>
      </c>
      <c r="C156" s="4" t="s">
        <v>276</v>
      </c>
      <c r="D156" s="5" t="s">
        <v>305</v>
      </c>
      <c r="E156" s="4">
        <v>31</v>
      </c>
      <c r="F156" s="4" t="s">
        <v>11</v>
      </c>
      <c r="G156" s="4">
        <f>2*G136</f>
        <v>2612</v>
      </c>
      <c r="H156" s="1" t="s">
        <v>45</v>
      </c>
    </row>
    <row r="157" spans="1:8" ht="12.75">
      <c r="A157" s="4" t="s">
        <v>306</v>
      </c>
      <c r="B157" s="4">
        <f t="shared" si="0"/>
        <v>155</v>
      </c>
      <c r="C157" s="4" t="s">
        <v>276</v>
      </c>
      <c r="D157" s="5" t="s">
        <v>307</v>
      </c>
      <c r="E157" s="4">
        <v>31</v>
      </c>
      <c r="F157" s="4" t="s">
        <v>11</v>
      </c>
      <c r="G157" s="4">
        <f>FLOOR(G137/3,1)</f>
        <v>2887</v>
      </c>
      <c r="H157" s="1" t="s">
        <v>45</v>
      </c>
    </row>
    <row r="158" spans="1:8" ht="12.75">
      <c r="A158" s="4" t="s">
        <v>308</v>
      </c>
      <c r="B158" s="4">
        <f t="shared" si="0"/>
        <v>156</v>
      </c>
      <c r="C158" s="4" t="s">
        <v>276</v>
      </c>
      <c r="D158" s="5" t="s">
        <v>309</v>
      </c>
      <c r="E158" s="4">
        <v>41</v>
      </c>
      <c r="F158" s="4" t="s">
        <v>11</v>
      </c>
      <c r="G158" s="4">
        <f>G138</f>
        <v>10445</v>
      </c>
      <c r="H158" s="1" t="s">
        <v>30</v>
      </c>
    </row>
    <row r="159" spans="1:8" ht="12.75">
      <c r="A159" s="4" t="s">
        <v>310</v>
      </c>
      <c r="B159" s="4">
        <f t="shared" si="0"/>
        <v>157</v>
      </c>
      <c r="C159" s="4" t="s">
        <v>276</v>
      </c>
      <c r="D159" s="5" t="s">
        <v>311</v>
      </c>
      <c r="E159" s="4">
        <v>41</v>
      </c>
      <c r="F159" s="4" t="s">
        <v>11</v>
      </c>
      <c r="G159" s="4">
        <f>FLOOR(G139/6,1)</f>
        <v>12779</v>
      </c>
      <c r="H159" s="1" t="s">
        <v>30</v>
      </c>
    </row>
    <row r="160" spans="1:8" ht="12.75">
      <c r="A160" s="4" t="s">
        <v>312</v>
      </c>
      <c r="B160" s="4">
        <f t="shared" si="0"/>
        <v>158</v>
      </c>
      <c r="C160" s="4" t="s">
        <v>276</v>
      </c>
      <c r="D160" s="5" t="s">
        <v>313</v>
      </c>
      <c r="E160" s="4">
        <v>41</v>
      </c>
      <c r="F160" s="4" t="s">
        <v>11</v>
      </c>
      <c r="G160" s="4">
        <f>FLOOR(G140/5,1)</f>
        <v>13762</v>
      </c>
      <c r="H160" s="1" t="s">
        <v>30</v>
      </c>
    </row>
    <row r="161" spans="1:8" ht="12.75">
      <c r="A161" s="4" t="s">
        <v>314</v>
      </c>
      <c r="B161" s="4">
        <f t="shared" si="0"/>
        <v>159</v>
      </c>
      <c r="C161" s="4" t="s">
        <v>276</v>
      </c>
      <c r="D161" s="5" t="s">
        <v>315</v>
      </c>
      <c r="E161" s="4">
        <v>41</v>
      </c>
      <c r="F161" s="4" t="s">
        <v>11</v>
      </c>
      <c r="G161" s="4">
        <f>FLOOR(G141/4,1)</f>
        <v>12656</v>
      </c>
      <c r="H161" s="1" t="s">
        <v>30</v>
      </c>
    </row>
    <row r="162" spans="1:8" ht="12.75">
      <c r="A162" s="8" t="s">
        <v>316</v>
      </c>
      <c r="B162" s="6">
        <f t="shared" si="0"/>
        <v>160</v>
      </c>
      <c r="C162" s="8" t="s">
        <v>93</v>
      </c>
      <c r="D162" s="10" t="s">
        <v>317</v>
      </c>
      <c r="E162" s="6">
        <v>1</v>
      </c>
      <c r="F162" s="6" t="s">
        <v>11</v>
      </c>
      <c r="G162" s="11">
        <f t="shared" ref="G162:G181" si="10">FLOOR(G142/2,1)</f>
        <v>25</v>
      </c>
      <c r="H162" s="1" t="s">
        <v>12</v>
      </c>
    </row>
    <row r="163" spans="1:8" ht="12.75">
      <c r="A163" s="8" t="s">
        <v>318</v>
      </c>
      <c r="B163" s="6">
        <f t="shared" si="0"/>
        <v>161</v>
      </c>
      <c r="C163" s="8" t="s">
        <v>93</v>
      </c>
      <c r="D163" s="10" t="s">
        <v>319</v>
      </c>
      <c r="E163" s="6">
        <v>1</v>
      </c>
      <c r="F163" s="6" t="s">
        <v>11</v>
      </c>
      <c r="G163" s="11">
        <f t="shared" si="10"/>
        <v>29</v>
      </c>
      <c r="H163" s="1" t="s">
        <v>12</v>
      </c>
    </row>
    <row r="164" spans="1:8" ht="12.75">
      <c r="A164" s="8" t="s">
        <v>320</v>
      </c>
      <c r="B164" s="6">
        <f t="shared" si="0"/>
        <v>162</v>
      </c>
      <c r="C164" s="8" t="s">
        <v>93</v>
      </c>
      <c r="D164" s="10" t="s">
        <v>321</v>
      </c>
      <c r="E164" s="6">
        <v>1</v>
      </c>
      <c r="F164" s="6" t="s">
        <v>11</v>
      </c>
      <c r="G164" s="11">
        <f t="shared" si="10"/>
        <v>22</v>
      </c>
      <c r="H164" s="1" t="s">
        <v>12</v>
      </c>
    </row>
    <row r="165" spans="1:8" ht="12.75">
      <c r="A165" s="8" t="s">
        <v>322</v>
      </c>
      <c r="B165" s="6">
        <f t="shared" si="0"/>
        <v>163</v>
      </c>
      <c r="C165" s="8" t="s">
        <v>93</v>
      </c>
      <c r="D165" s="10" t="s">
        <v>323</v>
      </c>
      <c r="E165" s="6">
        <v>1</v>
      </c>
      <c r="F165" s="6" t="s">
        <v>11</v>
      </c>
      <c r="G165" s="11">
        <f t="shared" si="10"/>
        <v>23</v>
      </c>
      <c r="H165" s="1" t="s">
        <v>12</v>
      </c>
    </row>
    <row r="166" spans="1:8" ht="12.75">
      <c r="A166" s="8" t="s">
        <v>324</v>
      </c>
      <c r="B166" s="6">
        <f t="shared" si="0"/>
        <v>164</v>
      </c>
      <c r="C166" s="8" t="s">
        <v>93</v>
      </c>
      <c r="D166" s="10" t="s">
        <v>325</v>
      </c>
      <c r="E166" s="6">
        <v>11</v>
      </c>
      <c r="F166" s="6" t="s">
        <v>11</v>
      </c>
      <c r="G166" s="11">
        <f t="shared" si="10"/>
        <v>107</v>
      </c>
      <c r="H166" s="1" t="s">
        <v>37</v>
      </c>
    </row>
    <row r="167" spans="1:8" ht="12.75">
      <c r="A167" s="8" t="s">
        <v>326</v>
      </c>
      <c r="B167" s="6">
        <f t="shared" si="0"/>
        <v>165</v>
      </c>
      <c r="C167" s="8" t="s">
        <v>93</v>
      </c>
      <c r="D167" s="10" t="s">
        <v>327</v>
      </c>
      <c r="E167" s="6">
        <v>11</v>
      </c>
      <c r="F167" s="6" t="s">
        <v>11</v>
      </c>
      <c r="G167" s="11">
        <f t="shared" si="10"/>
        <v>113</v>
      </c>
      <c r="H167" s="1" t="s">
        <v>37</v>
      </c>
    </row>
    <row r="168" spans="1:8" ht="12.75">
      <c r="A168" s="8" t="s">
        <v>328</v>
      </c>
      <c r="B168" s="6">
        <f t="shared" si="0"/>
        <v>166</v>
      </c>
      <c r="C168" s="8" t="s">
        <v>93</v>
      </c>
      <c r="D168" s="10" t="s">
        <v>329</v>
      </c>
      <c r="E168" s="6">
        <v>11</v>
      </c>
      <c r="F168" s="6" t="s">
        <v>11</v>
      </c>
      <c r="G168" s="11">
        <f t="shared" si="10"/>
        <v>86</v>
      </c>
      <c r="H168" s="1" t="s">
        <v>37</v>
      </c>
    </row>
    <row r="169" spans="1:8" ht="12.75">
      <c r="A169" s="8" t="s">
        <v>330</v>
      </c>
      <c r="B169" s="6">
        <f t="shared" si="0"/>
        <v>167</v>
      </c>
      <c r="C169" s="8" t="s">
        <v>93</v>
      </c>
      <c r="D169" s="10" t="s">
        <v>331</v>
      </c>
      <c r="E169" s="6">
        <v>11</v>
      </c>
      <c r="F169" s="6" t="s">
        <v>11</v>
      </c>
      <c r="G169" s="11">
        <f t="shared" si="10"/>
        <v>114</v>
      </c>
      <c r="H169" s="1" t="s">
        <v>37</v>
      </c>
    </row>
    <row r="170" spans="1:8" ht="12.75">
      <c r="A170" s="8" t="s">
        <v>332</v>
      </c>
      <c r="B170" s="6">
        <f t="shared" si="0"/>
        <v>168</v>
      </c>
      <c r="C170" s="8" t="s">
        <v>93</v>
      </c>
      <c r="D170" s="10" t="s">
        <v>333</v>
      </c>
      <c r="E170" s="6">
        <v>21</v>
      </c>
      <c r="F170" s="6" t="s">
        <v>11</v>
      </c>
      <c r="G170" s="11">
        <f t="shared" si="10"/>
        <v>441</v>
      </c>
      <c r="H170" s="1" t="s">
        <v>21</v>
      </c>
    </row>
    <row r="171" spans="1:8" ht="12.75">
      <c r="A171" s="8" t="s">
        <v>334</v>
      </c>
      <c r="B171" s="6">
        <f t="shared" si="0"/>
        <v>169</v>
      </c>
      <c r="C171" s="8" t="s">
        <v>93</v>
      </c>
      <c r="D171" s="10" t="s">
        <v>335</v>
      </c>
      <c r="E171" s="6">
        <v>21</v>
      </c>
      <c r="F171" s="6" t="s">
        <v>11</v>
      </c>
      <c r="G171" s="11">
        <f t="shared" si="10"/>
        <v>314</v>
      </c>
      <c r="H171" s="1" t="s">
        <v>21</v>
      </c>
    </row>
    <row r="172" spans="1:8" ht="12.75">
      <c r="A172" s="8" t="s">
        <v>336</v>
      </c>
      <c r="B172" s="6">
        <f t="shared" si="0"/>
        <v>170</v>
      </c>
      <c r="C172" s="8" t="s">
        <v>93</v>
      </c>
      <c r="D172" s="10" t="s">
        <v>337</v>
      </c>
      <c r="E172" s="6">
        <v>21</v>
      </c>
      <c r="F172" s="6" t="s">
        <v>11</v>
      </c>
      <c r="G172" s="11">
        <f t="shared" si="10"/>
        <v>457</v>
      </c>
      <c r="H172" s="1" t="s">
        <v>21</v>
      </c>
    </row>
    <row r="173" spans="1:8" ht="12.75">
      <c r="A173" s="8" t="s">
        <v>338</v>
      </c>
      <c r="B173" s="6">
        <f t="shared" si="0"/>
        <v>171</v>
      </c>
      <c r="C173" s="8" t="s">
        <v>93</v>
      </c>
      <c r="D173" s="10" t="s">
        <v>339</v>
      </c>
      <c r="E173" s="6">
        <v>21</v>
      </c>
      <c r="F173" s="6" t="s">
        <v>11</v>
      </c>
      <c r="G173" s="11">
        <f t="shared" si="10"/>
        <v>430</v>
      </c>
      <c r="H173" s="1" t="s">
        <v>21</v>
      </c>
    </row>
    <row r="174" spans="1:8" ht="12.75">
      <c r="A174" s="8" t="s">
        <v>340</v>
      </c>
      <c r="B174" s="6">
        <f t="shared" si="0"/>
        <v>172</v>
      </c>
      <c r="C174" s="8" t="s">
        <v>93</v>
      </c>
      <c r="D174" s="10" t="s">
        <v>341</v>
      </c>
      <c r="E174" s="6">
        <v>31</v>
      </c>
      <c r="F174" s="6" t="s">
        <v>11</v>
      </c>
      <c r="G174" s="11">
        <f t="shared" si="10"/>
        <v>1536</v>
      </c>
      <c r="H174" s="1" t="s">
        <v>45</v>
      </c>
    </row>
    <row r="175" spans="1:8" ht="12.75">
      <c r="A175" s="8" t="s">
        <v>342</v>
      </c>
      <c r="B175" s="6">
        <f t="shared" si="0"/>
        <v>173</v>
      </c>
      <c r="C175" s="8" t="s">
        <v>93</v>
      </c>
      <c r="D175" s="10" t="s">
        <v>343</v>
      </c>
      <c r="E175" s="6">
        <v>31</v>
      </c>
      <c r="F175" s="6" t="s">
        <v>11</v>
      </c>
      <c r="G175" s="11">
        <f t="shared" si="10"/>
        <v>1628</v>
      </c>
      <c r="H175" s="1" t="s">
        <v>45</v>
      </c>
    </row>
    <row r="176" spans="1:8" ht="12.75">
      <c r="A176" s="8" t="s">
        <v>344</v>
      </c>
      <c r="B176" s="6">
        <f t="shared" si="0"/>
        <v>174</v>
      </c>
      <c r="C176" s="8" t="s">
        <v>93</v>
      </c>
      <c r="D176" s="10" t="s">
        <v>345</v>
      </c>
      <c r="E176" s="6">
        <v>31</v>
      </c>
      <c r="F176" s="6" t="s">
        <v>11</v>
      </c>
      <c r="G176" s="11">
        <f t="shared" si="10"/>
        <v>1306</v>
      </c>
      <c r="H176" s="1" t="s">
        <v>45</v>
      </c>
    </row>
    <row r="177" spans="1:8" ht="12.75">
      <c r="A177" s="8" t="s">
        <v>346</v>
      </c>
      <c r="B177" s="6">
        <f t="shared" si="0"/>
        <v>175</v>
      </c>
      <c r="C177" s="8" t="s">
        <v>93</v>
      </c>
      <c r="D177" s="10" t="s">
        <v>347</v>
      </c>
      <c r="E177" s="6">
        <v>31</v>
      </c>
      <c r="F177" s="6" t="s">
        <v>11</v>
      </c>
      <c r="G177" s="11">
        <f t="shared" si="10"/>
        <v>1443</v>
      </c>
      <c r="H177" s="1" t="s">
        <v>45</v>
      </c>
    </row>
    <row r="178" spans="1:8" ht="12.75">
      <c r="A178" s="8" t="s">
        <v>348</v>
      </c>
      <c r="B178" s="6">
        <f t="shared" si="0"/>
        <v>176</v>
      </c>
      <c r="C178" s="8" t="s">
        <v>93</v>
      </c>
      <c r="D178" s="10" t="s">
        <v>349</v>
      </c>
      <c r="E178" s="6">
        <v>41</v>
      </c>
      <c r="F178" s="6" t="s">
        <v>11</v>
      </c>
      <c r="G178" s="11">
        <f t="shared" si="10"/>
        <v>5222</v>
      </c>
      <c r="H178" s="1" t="s">
        <v>30</v>
      </c>
    </row>
    <row r="179" spans="1:8" ht="12.75">
      <c r="A179" s="8" t="s">
        <v>350</v>
      </c>
      <c r="B179" s="6">
        <f t="shared" si="0"/>
        <v>177</v>
      </c>
      <c r="C179" s="8" t="s">
        <v>93</v>
      </c>
      <c r="D179" s="10" t="s">
        <v>351</v>
      </c>
      <c r="E179" s="6">
        <v>41</v>
      </c>
      <c r="F179" s="6" t="s">
        <v>11</v>
      </c>
      <c r="G179" s="11">
        <f t="shared" si="10"/>
        <v>6389</v>
      </c>
      <c r="H179" s="1" t="s">
        <v>30</v>
      </c>
    </row>
    <row r="180" spans="1:8" ht="12.75">
      <c r="A180" s="8" t="s">
        <v>352</v>
      </c>
      <c r="B180" s="6">
        <f t="shared" si="0"/>
        <v>178</v>
      </c>
      <c r="C180" s="8" t="s">
        <v>93</v>
      </c>
      <c r="D180" s="10" t="s">
        <v>353</v>
      </c>
      <c r="E180" s="6">
        <v>41</v>
      </c>
      <c r="F180" s="6" t="s">
        <v>11</v>
      </c>
      <c r="G180" s="11">
        <f t="shared" si="10"/>
        <v>6881</v>
      </c>
      <c r="H180" s="1" t="s">
        <v>30</v>
      </c>
    </row>
    <row r="181" spans="1:8" ht="12.75">
      <c r="A181" s="8" t="s">
        <v>354</v>
      </c>
      <c r="B181" s="6">
        <f t="shared" si="0"/>
        <v>179</v>
      </c>
      <c r="C181" s="8" t="s">
        <v>93</v>
      </c>
      <c r="D181" s="10" t="s">
        <v>355</v>
      </c>
      <c r="E181" s="6">
        <v>41</v>
      </c>
      <c r="F181" s="6" t="s">
        <v>11</v>
      </c>
      <c r="G181" s="11">
        <f t="shared" si="10"/>
        <v>6328</v>
      </c>
      <c r="H181" s="1" t="s">
        <v>30</v>
      </c>
    </row>
    <row r="182" spans="1:8" ht="12.75">
      <c r="A182" s="9" t="s">
        <v>356</v>
      </c>
      <c r="B182" s="4">
        <f t="shared" si="0"/>
        <v>180</v>
      </c>
      <c r="C182" s="9" t="s">
        <v>357</v>
      </c>
      <c r="D182" s="5" t="s">
        <v>10</v>
      </c>
      <c r="E182" s="4">
        <v>1</v>
      </c>
      <c r="F182" s="9" t="s">
        <v>11</v>
      </c>
      <c r="G182" s="13">
        <v>74</v>
      </c>
      <c r="H182" s="1" t="s">
        <v>12</v>
      </c>
    </row>
    <row r="183" spans="1:8" ht="12.75">
      <c r="A183" s="9" t="s">
        <v>358</v>
      </c>
      <c r="B183" s="4">
        <f t="shared" si="0"/>
        <v>181</v>
      </c>
      <c r="C183" s="9" t="s">
        <v>357</v>
      </c>
      <c r="D183" s="5" t="s">
        <v>14</v>
      </c>
      <c r="E183" s="4">
        <v>1</v>
      </c>
      <c r="F183" s="9" t="s">
        <v>11</v>
      </c>
      <c r="G183" s="13">
        <v>68</v>
      </c>
      <c r="H183" s="1" t="s">
        <v>12</v>
      </c>
    </row>
    <row r="184" spans="1:8" ht="12.75">
      <c r="A184" s="9" t="s">
        <v>359</v>
      </c>
      <c r="B184" s="4">
        <f t="shared" si="0"/>
        <v>182</v>
      </c>
      <c r="C184" s="9" t="s">
        <v>357</v>
      </c>
      <c r="D184" s="5" t="s">
        <v>16</v>
      </c>
      <c r="E184" s="4">
        <v>1</v>
      </c>
      <c r="F184" s="9" t="s">
        <v>11</v>
      </c>
      <c r="G184" s="13">
        <v>58</v>
      </c>
      <c r="H184" s="1" t="s">
        <v>12</v>
      </c>
    </row>
    <row r="185" spans="1:8" ht="12.75">
      <c r="A185" s="9" t="s">
        <v>360</v>
      </c>
      <c r="B185" s="4">
        <f t="shared" si="0"/>
        <v>183</v>
      </c>
      <c r="C185" s="9" t="s">
        <v>357</v>
      </c>
      <c r="D185" s="5" t="s">
        <v>18</v>
      </c>
      <c r="E185" s="4">
        <v>1</v>
      </c>
      <c r="F185" s="9" t="s">
        <v>11</v>
      </c>
      <c r="G185" s="13">
        <v>73</v>
      </c>
      <c r="H185" s="1" t="s">
        <v>12</v>
      </c>
    </row>
    <row r="186" spans="1:8" ht="12.75">
      <c r="A186" s="9" t="s">
        <v>361</v>
      </c>
      <c r="B186" s="4">
        <f t="shared" si="0"/>
        <v>184</v>
      </c>
      <c r="C186" s="9" t="s">
        <v>357</v>
      </c>
      <c r="D186" s="5" t="s">
        <v>20</v>
      </c>
      <c r="E186" s="4">
        <v>11</v>
      </c>
      <c r="F186" s="9" t="s">
        <v>11</v>
      </c>
      <c r="G186" s="13">
        <v>297</v>
      </c>
      <c r="H186" s="1" t="s">
        <v>37</v>
      </c>
    </row>
    <row r="187" spans="1:8" ht="12.75">
      <c r="A187" s="9" t="s">
        <v>362</v>
      </c>
      <c r="B187" s="4">
        <f t="shared" si="0"/>
        <v>185</v>
      </c>
      <c r="C187" s="9" t="s">
        <v>357</v>
      </c>
      <c r="D187" s="5" t="s">
        <v>23</v>
      </c>
      <c r="E187" s="4">
        <v>11</v>
      </c>
      <c r="F187" s="9" t="s">
        <v>11</v>
      </c>
      <c r="G187" s="13">
        <v>305</v>
      </c>
      <c r="H187" s="1" t="s">
        <v>37</v>
      </c>
    </row>
    <row r="188" spans="1:8" ht="12.75">
      <c r="A188" s="9" t="s">
        <v>363</v>
      </c>
      <c r="B188" s="4">
        <f t="shared" si="0"/>
        <v>186</v>
      </c>
      <c r="C188" s="9" t="s">
        <v>357</v>
      </c>
      <c r="D188" s="5" t="s">
        <v>25</v>
      </c>
      <c r="E188" s="4">
        <v>11</v>
      </c>
      <c r="F188" s="9" t="s">
        <v>11</v>
      </c>
      <c r="G188" s="13">
        <v>292</v>
      </c>
      <c r="H188" s="1" t="s">
        <v>37</v>
      </c>
    </row>
    <row r="189" spans="1:8" ht="12.75">
      <c r="A189" s="9" t="s">
        <v>364</v>
      </c>
      <c r="B189" s="4">
        <f t="shared" si="0"/>
        <v>187</v>
      </c>
      <c r="C189" s="9" t="s">
        <v>357</v>
      </c>
      <c r="D189" s="5" t="s">
        <v>27</v>
      </c>
      <c r="E189" s="4">
        <v>11</v>
      </c>
      <c r="F189" s="9" t="s">
        <v>11</v>
      </c>
      <c r="G189" s="13">
        <v>207</v>
      </c>
      <c r="H189" s="1" t="s">
        <v>37</v>
      </c>
    </row>
    <row r="190" spans="1:8" ht="12.75">
      <c r="A190" s="9" t="s">
        <v>365</v>
      </c>
      <c r="B190" s="4">
        <f t="shared" si="0"/>
        <v>188</v>
      </c>
      <c r="C190" s="9" t="s">
        <v>357</v>
      </c>
      <c r="D190" s="5" t="s">
        <v>29</v>
      </c>
      <c r="E190" s="4">
        <v>21</v>
      </c>
      <c r="F190" s="9" t="s">
        <v>11</v>
      </c>
      <c r="G190" s="13">
        <v>492</v>
      </c>
      <c r="H190" s="1" t="s">
        <v>21</v>
      </c>
    </row>
    <row r="191" spans="1:8" ht="12.75">
      <c r="A191" s="9" t="s">
        <v>366</v>
      </c>
      <c r="B191" s="4">
        <f t="shared" si="0"/>
        <v>189</v>
      </c>
      <c r="C191" s="9" t="s">
        <v>357</v>
      </c>
      <c r="D191" s="5" t="s">
        <v>10</v>
      </c>
      <c r="E191" s="4">
        <v>21</v>
      </c>
      <c r="F191" s="9" t="s">
        <v>11</v>
      </c>
      <c r="G191" s="13">
        <v>502</v>
      </c>
      <c r="H191" s="1" t="s">
        <v>21</v>
      </c>
    </row>
    <row r="192" spans="1:8" ht="12.75">
      <c r="A192" s="9" t="s">
        <v>367</v>
      </c>
      <c r="B192" s="4">
        <f t="shared" si="0"/>
        <v>190</v>
      </c>
      <c r="C192" s="9" t="s">
        <v>357</v>
      </c>
      <c r="D192" s="5" t="s">
        <v>33</v>
      </c>
      <c r="E192" s="4">
        <v>21</v>
      </c>
      <c r="F192" s="9" t="s">
        <v>11</v>
      </c>
      <c r="G192" s="13">
        <v>440</v>
      </c>
      <c r="H192" s="1" t="s">
        <v>21</v>
      </c>
    </row>
    <row r="193" spans="1:8" ht="12.75">
      <c r="A193" s="9" t="s">
        <v>368</v>
      </c>
      <c r="B193" s="4">
        <f t="shared" si="0"/>
        <v>191</v>
      </c>
      <c r="C193" s="9" t="s">
        <v>357</v>
      </c>
      <c r="D193" s="5" t="s">
        <v>20</v>
      </c>
      <c r="E193" s="4">
        <v>21</v>
      </c>
      <c r="F193" s="9" t="s">
        <v>11</v>
      </c>
      <c r="G193" s="13">
        <v>553</v>
      </c>
      <c r="H193" s="1" t="s">
        <v>21</v>
      </c>
    </row>
    <row r="194" spans="1:8" ht="12.75">
      <c r="A194" s="9" t="s">
        <v>369</v>
      </c>
      <c r="B194" s="4">
        <f t="shared" si="0"/>
        <v>192</v>
      </c>
      <c r="C194" s="9" t="s">
        <v>357</v>
      </c>
      <c r="D194" s="5" t="s">
        <v>36</v>
      </c>
      <c r="E194" s="4">
        <v>31</v>
      </c>
      <c r="F194" s="9" t="s">
        <v>11</v>
      </c>
      <c r="G194" s="13">
        <v>1700</v>
      </c>
      <c r="H194" s="1" t="s">
        <v>45</v>
      </c>
    </row>
    <row r="195" spans="1:8" ht="12.75">
      <c r="A195" s="9" t="s">
        <v>370</v>
      </c>
      <c r="B195" s="4">
        <f t="shared" si="0"/>
        <v>193</v>
      </c>
      <c r="C195" s="9" t="s">
        <v>357</v>
      </c>
      <c r="D195" s="5" t="s">
        <v>39</v>
      </c>
      <c r="E195" s="4">
        <v>31</v>
      </c>
      <c r="F195" s="9" t="s">
        <v>11</v>
      </c>
      <c r="G195" s="13">
        <v>2212</v>
      </c>
      <c r="H195" s="1" t="s">
        <v>45</v>
      </c>
    </row>
    <row r="196" spans="1:8" ht="12.75">
      <c r="A196" s="9" t="s">
        <v>371</v>
      </c>
      <c r="B196" s="4">
        <f t="shared" si="0"/>
        <v>194</v>
      </c>
      <c r="C196" s="9" t="s">
        <v>357</v>
      </c>
      <c r="D196" s="5" t="s">
        <v>41</v>
      </c>
      <c r="E196" s="4">
        <v>31</v>
      </c>
      <c r="F196" s="9" t="s">
        <v>11</v>
      </c>
      <c r="G196" s="13">
        <v>2171</v>
      </c>
      <c r="H196" s="1" t="s">
        <v>45</v>
      </c>
    </row>
    <row r="197" spans="1:8" ht="12.75">
      <c r="A197" s="9" t="s">
        <v>372</v>
      </c>
      <c r="B197" s="4">
        <f t="shared" si="0"/>
        <v>195</v>
      </c>
      <c r="C197" s="9" t="s">
        <v>357</v>
      </c>
      <c r="D197" s="5" t="s">
        <v>18</v>
      </c>
      <c r="E197" s="4">
        <v>31</v>
      </c>
      <c r="F197" s="9" t="s">
        <v>11</v>
      </c>
      <c r="G197" s="13">
        <v>2437</v>
      </c>
      <c r="H197" s="1" t="s">
        <v>45</v>
      </c>
    </row>
    <row r="198" spans="1:8" ht="12.75">
      <c r="A198" s="9" t="s">
        <v>373</v>
      </c>
      <c r="B198" s="4">
        <f t="shared" si="0"/>
        <v>196</v>
      </c>
      <c r="C198" s="9" t="s">
        <v>357</v>
      </c>
      <c r="D198" s="5" t="s">
        <v>44</v>
      </c>
      <c r="E198" s="4">
        <v>41</v>
      </c>
      <c r="F198" s="9" t="s">
        <v>11</v>
      </c>
      <c r="G198" s="13">
        <v>6554</v>
      </c>
      <c r="H198" s="1" t="s">
        <v>30</v>
      </c>
    </row>
    <row r="199" spans="1:8" ht="12.75">
      <c r="A199" s="9" t="s">
        <v>374</v>
      </c>
      <c r="B199" s="4">
        <f t="shared" si="0"/>
        <v>197</v>
      </c>
      <c r="C199" s="9" t="s">
        <v>357</v>
      </c>
      <c r="D199" s="5" t="s">
        <v>16</v>
      </c>
      <c r="E199" s="4">
        <v>41</v>
      </c>
      <c r="F199" s="9" t="s">
        <v>11</v>
      </c>
      <c r="G199" s="13">
        <v>7782</v>
      </c>
      <c r="H199" s="1" t="s">
        <v>30</v>
      </c>
    </row>
    <row r="200" spans="1:8" ht="12.75">
      <c r="A200" s="9" t="s">
        <v>375</v>
      </c>
      <c r="B200" s="4">
        <f t="shared" si="0"/>
        <v>198</v>
      </c>
      <c r="C200" s="9" t="s">
        <v>357</v>
      </c>
      <c r="D200" s="5" t="s">
        <v>48</v>
      </c>
      <c r="E200" s="4">
        <v>41</v>
      </c>
      <c r="F200" s="9" t="s">
        <v>11</v>
      </c>
      <c r="G200" s="13">
        <v>8765</v>
      </c>
      <c r="H200" s="1" t="s">
        <v>30</v>
      </c>
    </row>
    <row r="201" spans="1:8" ht="12.75">
      <c r="A201" s="9" t="s">
        <v>376</v>
      </c>
      <c r="B201" s="4">
        <f t="shared" si="0"/>
        <v>199</v>
      </c>
      <c r="C201" s="9" t="s">
        <v>357</v>
      </c>
      <c r="D201" s="5" t="s">
        <v>50</v>
      </c>
      <c r="E201" s="4">
        <v>41</v>
      </c>
      <c r="F201" s="9" t="s">
        <v>11</v>
      </c>
      <c r="G201" s="13">
        <v>9585</v>
      </c>
      <c r="H201" s="1" t="s">
        <v>30</v>
      </c>
    </row>
    <row r="202" spans="1:8" ht="12.75">
      <c r="A202" s="8" t="s">
        <v>377</v>
      </c>
      <c r="B202" s="6">
        <f t="shared" si="0"/>
        <v>200</v>
      </c>
      <c r="C202" s="8" t="s">
        <v>378</v>
      </c>
      <c r="D202" s="10" t="s">
        <v>379</v>
      </c>
      <c r="E202" s="6">
        <v>1</v>
      </c>
      <c r="F202" s="6" t="s">
        <v>11</v>
      </c>
      <c r="G202" s="11">
        <f t="shared" ref="G202:G221" si="11">FLOOR(G182/2,1)</f>
        <v>37</v>
      </c>
      <c r="H202" s="1" t="s">
        <v>12</v>
      </c>
    </row>
    <row r="203" spans="1:8" ht="12.75">
      <c r="A203" s="8" t="s">
        <v>380</v>
      </c>
      <c r="B203" s="6">
        <f t="shared" si="0"/>
        <v>201</v>
      </c>
      <c r="C203" s="8" t="s">
        <v>378</v>
      </c>
      <c r="D203" s="10" t="s">
        <v>381</v>
      </c>
      <c r="E203" s="6">
        <v>1</v>
      </c>
      <c r="F203" s="6" t="s">
        <v>11</v>
      </c>
      <c r="G203" s="11">
        <f t="shared" si="11"/>
        <v>34</v>
      </c>
      <c r="H203" s="1" t="s">
        <v>12</v>
      </c>
    </row>
    <row r="204" spans="1:8" ht="12.75">
      <c r="A204" s="8" t="s">
        <v>382</v>
      </c>
      <c r="B204" s="6">
        <f t="shared" si="0"/>
        <v>202</v>
      </c>
      <c r="C204" s="8" t="s">
        <v>378</v>
      </c>
      <c r="D204" s="10" t="s">
        <v>383</v>
      </c>
      <c r="E204" s="6">
        <v>1</v>
      </c>
      <c r="F204" s="6" t="s">
        <v>11</v>
      </c>
      <c r="G204" s="11">
        <f t="shared" si="11"/>
        <v>29</v>
      </c>
      <c r="H204" s="1" t="s">
        <v>12</v>
      </c>
    </row>
    <row r="205" spans="1:8" ht="12.75">
      <c r="A205" s="8" t="s">
        <v>384</v>
      </c>
      <c r="B205" s="6">
        <f t="shared" si="0"/>
        <v>203</v>
      </c>
      <c r="C205" s="8" t="s">
        <v>378</v>
      </c>
      <c r="D205" s="10" t="s">
        <v>385</v>
      </c>
      <c r="E205" s="6">
        <v>1</v>
      </c>
      <c r="F205" s="6" t="s">
        <v>11</v>
      </c>
      <c r="G205" s="11">
        <f t="shared" si="11"/>
        <v>36</v>
      </c>
      <c r="H205" s="1" t="s">
        <v>12</v>
      </c>
    </row>
    <row r="206" spans="1:8" ht="12.75">
      <c r="A206" s="8" t="s">
        <v>386</v>
      </c>
      <c r="B206" s="6">
        <f t="shared" si="0"/>
        <v>204</v>
      </c>
      <c r="C206" s="8" t="s">
        <v>378</v>
      </c>
      <c r="D206" s="10" t="s">
        <v>387</v>
      </c>
      <c r="E206" s="6">
        <v>11</v>
      </c>
      <c r="F206" s="6" t="s">
        <v>11</v>
      </c>
      <c r="G206" s="11">
        <f t="shared" si="11"/>
        <v>148</v>
      </c>
      <c r="H206" s="1" t="s">
        <v>37</v>
      </c>
    </row>
    <row r="207" spans="1:8" ht="12.75">
      <c r="A207" s="8" t="s">
        <v>388</v>
      </c>
      <c r="B207" s="6">
        <f t="shared" si="0"/>
        <v>205</v>
      </c>
      <c r="C207" s="8" t="s">
        <v>378</v>
      </c>
      <c r="D207" s="10" t="s">
        <v>389</v>
      </c>
      <c r="E207" s="6">
        <v>11</v>
      </c>
      <c r="F207" s="6" t="s">
        <v>11</v>
      </c>
      <c r="G207" s="11">
        <f t="shared" si="11"/>
        <v>152</v>
      </c>
      <c r="H207" s="1" t="s">
        <v>37</v>
      </c>
    </row>
    <row r="208" spans="1:8" ht="12.75">
      <c r="A208" s="8" t="s">
        <v>390</v>
      </c>
      <c r="B208" s="6">
        <f t="shared" si="0"/>
        <v>206</v>
      </c>
      <c r="C208" s="8" t="s">
        <v>378</v>
      </c>
      <c r="D208" s="10" t="s">
        <v>391</v>
      </c>
      <c r="E208" s="6">
        <v>11</v>
      </c>
      <c r="F208" s="6" t="s">
        <v>11</v>
      </c>
      <c r="G208" s="11">
        <f t="shared" si="11"/>
        <v>146</v>
      </c>
      <c r="H208" s="1" t="s">
        <v>37</v>
      </c>
    </row>
    <row r="209" spans="1:8" ht="12.75">
      <c r="A209" s="8" t="s">
        <v>392</v>
      </c>
      <c r="B209" s="6">
        <f t="shared" si="0"/>
        <v>207</v>
      </c>
      <c r="C209" s="8" t="s">
        <v>378</v>
      </c>
      <c r="D209" s="10" t="s">
        <v>393</v>
      </c>
      <c r="E209" s="6">
        <v>11</v>
      </c>
      <c r="F209" s="6" t="s">
        <v>11</v>
      </c>
      <c r="G209" s="11">
        <f t="shared" si="11"/>
        <v>103</v>
      </c>
      <c r="H209" s="1" t="s">
        <v>37</v>
      </c>
    </row>
    <row r="210" spans="1:8" ht="12.75">
      <c r="A210" s="8" t="s">
        <v>394</v>
      </c>
      <c r="B210" s="6">
        <f t="shared" si="0"/>
        <v>208</v>
      </c>
      <c r="C210" s="8" t="s">
        <v>378</v>
      </c>
      <c r="D210" s="10" t="s">
        <v>395</v>
      </c>
      <c r="E210" s="6">
        <v>21</v>
      </c>
      <c r="F210" s="6" t="s">
        <v>11</v>
      </c>
      <c r="G210" s="11">
        <f t="shared" si="11"/>
        <v>246</v>
      </c>
      <c r="H210" s="1" t="s">
        <v>21</v>
      </c>
    </row>
    <row r="211" spans="1:8" ht="12.75">
      <c r="A211" s="8" t="s">
        <v>396</v>
      </c>
      <c r="B211" s="6">
        <f t="shared" si="0"/>
        <v>209</v>
      </c>
      <c r="C211" s="8" t="s">
        <v>378</v>
      </c>
      <c r="D211" s="10" t="s">
        <v>397</v>
      </c>
      <c r="E211" s="6">
        <v>21</v>
      </c>
      <c r="F211" s="6" t="s">
        <v>11</v>
      </c>
      <c r="G211" s="11">
        <f t="shared" si="11"/>
        <v>251</v>
      </c>
      <c r="H211" s="1" t="s">
        <v>21</v>
      </c>
    </row>
    <row r="212" spans="1:8" ht="12.75">
      <c r="A212" s="8" t="s">
        <v>398</v>
      </c>
      <c r="B212" s="6">
        <f t="shared" si="0"/>
        <v>210</v>
      </c>
      <c r="C212" s="8" t="s">
        <v>378</v>
      </c>
      <c r="D212" s="10" t="s">
        <v>399</v>
      </c>
      <c r="E212" s="6">
        <v>21</v>
      </c>
      <c r="F212" s="6" t="s">
        <v>11</v>
      </c>
      <c r="G212" s="11">
        <f t="shared" si="11"/>
        <v>220</v>
      </c>
      <c r="H212" s="1" t="s">
        <v>21</v>
      </c>
    </row>
    <row r="213" spans="1:8" ht="12.75">
      <c r="A213" s="8" t="s">
        <v>400</v>
      </c>
      <c r="B213" s="6">
        <f t="shared" si="0"/>
        <v>211</v>
      </c>
      <c r="C213" s="8" t="s">
        <v>378</v>
      </c>
      <c r="D213" s="10" t="s">
        <v>401</v>
      </c>
      <c r="E213" s="6">
        <v>21</v>
      </c>
      <c r="F213" s="6" t="s">
        <v>11</v>
      </c>
      <c r="G213" s="11">
        <f t="shared" si="11"/>
        <v>276</v>
      </c>
      <c r="H213" s="1" t="s">
        <v>21</v>
      </c>
    </row>
    <row r="214" spans="1:8" ht="12.75">
      <c r="A214" s="8" t="s">
        <v>402</v>
      </c>
      <c r="B214" s="6">
        <f t="shared" si="0"/>
        <v>212</v>
      </c>
      <c r="C214" s="8" t="s">
        <v>378</v>
      </c>
      <c r="D214" s="10" t="s">
        <v>403</v>
      </c>
      <c r="E214" s="6">
        <v>31</v>
      </c>
      <c r="F214" s="6" t="s">
        <v>11</v>
      </c>
      <c r="G214" s="11">
        <f t="shared" si="11"/>
        <v>850</v>
      </c>
      <c r="H214" s="1" t="s">
        <v>45</v>
      </c>
    </row>
    <row r="215" spans="1:8" ht="12.75">
      <c r="A215" s="8" t="s">
        <v>404</v>
      </c>
      <c r="B215" s="6">
        <f t="shared" si="0"/>
        <v>213</v>
      </c>
      <c r="C215" s="8" t="s">
        <v>378</v>
      </c>
      <c r="D215" s="10" t="s">
        <v>405</v>
      </c>
      <c r="E215" s="6">
        <v>31</v>
      </c>
      <c r="F215" s="6" t="s">
        <v>11</v>
      </c>
      <c r="G215" s="11">
        <f t="shared" si="11"/>
        <v>1106</v>
      </c>
      <c r="H215" s="1" t="s">
        <v>45</v>
      </c>
    </row>
    <row r="216" spans="1:8" ht="12.75">
      <c r="A216" s="8" t="s">
        <v>406</v>
      </c>
      <c r="B216" s="6">
        <f t="shared" si="0"/>
        <v>214</v>
      </c>
      <c r="C216" s="8" t="s">
        <v>378</v>
      </c>
      <c r="D216" s="10" t="s">
        <v>407</v>
      </c>
      <c r="E216" s="6">
        <v>31</v>
      </c>
      <c r="F216" s="6" t="s">
        <v>11</v>
      </c>
      <c r="G216" s="11">
        <f t="shared" si="11"/>
        <v>1085</v>
      </c>
      <c r="H216" s="1" t="s">
        <v>45</v>
      </c>
    </row>
    <row r="217" spans="1:8" ht="12.75">
      <c r="A217" s="8" t="s">
        <v>408</v>
      </c>
      <c r="B217" s="6">
        <f t="shared" si="0"/>
        <v>215</v>
      </c>
      <c r="C217" s="8" t="s">
        <v>378</v>
      </c>
      <c r="D217" s="10" t="s">
        <v>409</v>
      </c>
      <c r="E217" s="6">
        <v>31</v>
      </c>
      <c r="F217" s="6" t="s">
        <v>11</v>
      </c>
      <c r="G217" s="11">
        <f t="shared" si="11"/>
        <v>1218</v>
      </c>
      <c r="H217" s="1" t="s">
        <v>45</v>
      </c>
    </row>
    <row r="218" spans="1:8" ht="12.75">
      <c r="A218" s="8" t="s">
        <v>410</v>
      </c>
      <c r="B218" s="6">
        <f t="shared" si="0"/>
        <v>216</v>
      </c>
      <c r="C218" s="8" t="s">
        <v>378</v>
      </c>
      <c r="D218" s="10" t="s">
        <v>411</v>
      </c>
      <c r="E218" s="6">
        <v>41</v>
      </c>
      <c r="F218" s="6" t="s">
        <v>11</v>
      </c>
      <c r="G218" s="11">
        <f t="shared" si="11"/>
        <v>3277</v>
      </c>
      <c r="H218" s="1" t="s">
        <v>30</v>
      </c>
    </row>
    <row r="219" spans="1:8" ht="12.75">
      <c r="A219" s="8" t="s">
        <v>412</v>
      </c>
      <c r="B219" s="6">
        <f t="shared" si="0"/>
        <v>217</v>
      </c>
      <c r="C219" s="8" t="s">
        <v>378</v>
      </c>
      <c r="D219" s="10" t="s">
        <v>413</v>
      </c>
      <c r="E219" s="6">
        <v>41</v>
      </c>
      <c r="F219" s="6" t="s">
        <v>11</v>
      </c>
      <c r="G219" s="11">
        <f t="shared" si="11"/>
        <v>3891</v>
      </c>
      <c r="H219" s="1" t="s">
        <v>30</v>
      </c>
    </row>
    <row r="220" spans="1:8" ht="12.75">
      <c r="A220" s="8" t="s">
        <v>414</v>
      </c>
      <c r="B220" s="6">
        <f t="shared" si="0"/>
        <v>218</v>
      </c>
      <c r="C220" s="8" t="s">
        <v>378</v>
      </c>
      <c r="D220" s="10" t="s">
        <v>415</v>
      </c>
      <c r="E220" s="6">
        <v>41</v>
      </c>
      <c r="F220" s="6" t="s">
        <v>11</v>
      </c>
      <c r="G220" s="11">
        <f t="shared" si="11"/>
        <v>4382</v>
      </c>
      <c r="H220" s="1" t="s">
        <v>30</v>
      </c>
    </row>
    <row r="221" spans="1:8" ht="12.75">
      <c r="A221" s="8" t="s">
        <v>416</v>
      </c>
      <c r="B221" s="6">
        <f t="shared" si="0"/>
        <v>219</v>
      </c>
      <c r="C221" s="8" t="s">
        <v>378</v>
      </c>
      <c r="D221" s="10" t="s">
        <v>417</v>
      </c>
      <c r="E221" s="6">
        <v>41</v>
      </c>
      <c r="F221" s="6" t="s">
        <v>11</v>
      </c>
      <c r="G221" s="11">
        <f t="shared" si="11"/>
        <v>4792</v>
      </c>
      <c r="H221" s="1" t="s">
        <v>30</v>
      </c>
    </row>
    <row r="222" spans="1:8" ht="12.75">
      <c r="A222" s="9" t="s">
        <v>418</v>
      </c>
      <c r="B222" s="4">
        <f t="shared" si="0"/>
        <v>220</v>
      </c>
      <c r="C222" s="9" t="s">
        <v>93</v>
      </c>
      <c r="D222" s="12" t="s">
        <v>419</v>
      </c>
      <c r="E222" s="4">
        <v>1</v>
      </c>
      <c r="F222" s="9" t="s">
        <v>11</v>
      </c>
      <c r="G222" s="13">
        <f t="shared" ref="G222:G241" si="12">FLOOR(G202*3/8,1)</f>
        <v>13</v>
      </c>
      <c r="H222" s="1" t="s">
        <v>12</v>
      </c>
    </row>
    <row r="223" spans="1:8" ht="12.75">
      <c r="A223" s="9" t="s">
        <v>420</v>
      </c>
      <c r="B223" s="4">
        <f t="shared" si="0"/>
        <v>221</v>
      </c>
      <c r="C223" s="9" t="s">
        <v>93</v>
      </c>
      <c r="D223" s="12" t="s">
        <v>421</v>
      </c>
      <c r="E223" s="4">
        <v>1</v>
      </c>
      <c r="F223" s="9" t="s">
        <v>11</v>
      </c>
      <c r="G223" s="13">
        <f t="shared" si="12"/>
        <v>12</v>
      </c>
      <c r="H223" s="1" t="s">
        <v>12</v>
      </c>
    </row>
    <row r="224" spans="1:8" ht="12.75">
      <c r="A224" s="9" t="s">
        <v>422</v>
      </c>
      <c r="B224" s="4">
        <f t="shared" si="0"/>
        <v>222</v>
      </c>
      <c r="C224" s="9" t="s">
        <v>93</v>
      </c>
      <c r="D224" s="12" t="s">
        <v>423</v>
      </c>
      <c r="E224" s="4">
        <v>1</v>
      </c>
      <c r="F224" s="9" t="s">
        <v>11</v>
      </c>
      <c r="G224" s="13">
        <f t="shared" si="12"/>
        <v>10</v>
      </c>
      <c r="H224" s="1" t="s">
        <v>12</v>
      </c>
    </row>
    <row r="225" spans="1:8" ht="12.75">
      <c r="A225" s="9" t="s">
        <v>424</v>
      </c>
      <c r="B225" s="4">
        <f t="shared" si="0"/>
        <v>223</v>
      </c>
      <c r="C225" s="9" t="s">
        <v>93</v>
      </c>
      <c r="D225" s="12" t="s">
        <v>425</v>
      </c>
      <c r="E225" s="4">
        <v>1</v>
      </c>
      <c r="F225" s="9" t="s">
        <v>11</v>
      </c>
      <c r="G225" s="13">
        <f t="shared" si="12"/>
        <v>13</v>
      </c>
      <c r="H225" s="1" t="s">
        <v>12</v>
      </c>
    </row>
    <row r="226" spans="1:8" ht="12.75">
      <c r="A226" s="9" t="s">
        <v>426</v>
      </c>
      <c r="B226" s="4">
        <f t="shared" si="0"/>
        <v>224</v>
      </c>
      <c r="C226" s="9" t="s">
        <v>93</v>
      </c>
      <c r="D226" s="12" t="s">
        <v>427</v>
      </c>
      <c r="E226" s="4">
        <v>11</v>
      </c>
      <c r="F226" s="9" t="s">
        <v>11</v>
      </c>
      <c r="G226" s="13">
        <f t="shared" si="12"/>
        <v>55</v>
      </c>
      <c r="H226" s="1" t="s">
        <v>37</v>
      </c>
    </row>
    <row r="227" spans="1:8" ht="12.75">
      <c r="A227" s="9" t="s">
        <v>428</v>
      </c>
      <c r="B227" s="4">
        <f t="shared" si="0"/>
        <v>225</v>
      </c>
      <c r="C227" s="9" t="s">
        <v>93</v>
      </c>
      <c r="D227" s="12" t="s">
        <v>429</v>
      </c>
      <c r="E227" s="4">
        <v>11</v>
      </c>
      <c r="F227" s="9" t="s">
        <v>11</v>
      </c>
      <c r="G227" s="13">
        <f t="shared" si="12"/>
        <v>57</v>
      </c>
      <c r="H227" s="1" t="s">
        <v>37</v>
      </c>
    </row>
    <row r="228" spans="1:8" ht="12.75">
      <c r="A228" s="9" t="s">
        <v>430</v>
      </c>
      <c r="B228" s="4">
        <f t="shared" si="0"/>
        <v>226</v>
      </c>
      <c r="C228" s="9" t="s">
        <v>93</v>
      </c>
      <c r="D228" s="12" t="s">
        <v>431</v>
      </c>
      <c r="E228" s="4">
        <v>11</v>
      </c>
      <c r="F228" s="9" t="s">
        <v>11</v>
      </c>
      <c r="G228" s="13">
        <f t="shared" si="12"/>
        <v>54</v>
      </c>
      <c r="H228" s="1" t="s">
        <v>37</v>
      </c>
    </row>
    <row r="229" spans="1:8" ht="12.75">
      <c r="A229" s="9" t="s">
        <v>432</v>
      </c>
      <c r="B229" s="4">
        <f t="shared" si="0"/>
        <v>227</v>
      </c>
      <c r="C229" s="9" t="s">
        <v>93</v>
      </c>
      <c r="D229" s="12" t="s">
        <v>433</v>
      </c>
      <c r="E229" s="4">
        <v>11</v>
      </c>
      <c r="F229" s="9" t="s">
        <v>11</v>
      </c>
      <c r="G229" s="13">
        <f t="shared" si="12"/>
        <v>38</v>
      </c>
      <c r="H229" s="1" t="s">
        <v>37</v>
      </c>
    </row>
    <row r="230" spans="1:8" ht="12.75">
      <c r="A230" s="9" t="s">
        <v>434</v>
      </c>
      <c r="B230" s="4">
        <f t="shared" si="0"/>
        <v>228</v>
      </c>
      <c r="C230" s="9" t="s">
        <v>93</v>
      </c>
      <c r="D230" s="12" t="s">
        <v>435</v>
      </c>
      <c r="E230" s="4">
        <v>21</v>
      </c>
      <c r="F230" s="9" t="s">
        <v>11</v>
      </c>
      <c r="G230" s="13">
        <f t="shared" si="12"/>
        <v>92</v>
      </c>
      <c r="H230" s="1" t="s">
        <v>21</v>
      </c>
    </row>
    <row r="231" spans="1:8" ht="12.75">
      <c r="A231" s="9" t="s">
        <v>436</v>
      </c>
      <c r="B231" s="4">
        <f t="shared" si="0"/>
        <v>229</v>
      </c>
      <c r="C231" s="9" t="s">
        <v>93</v>
      </c>
      <c r="D231" s="12" t="s">
        <v>437</v>
      </c>
      <c r="E231" s="4">
        <v>21</v>
      </c>
      <c r="F231" s="9" t="s">
        <v>11</v>
      </c>
      <c r="G231" s="13">
        <f t="shared" si="12"/>
        <v>94</v>
      </c>
      <c r="H231" s="1" t="s">
        <v>21</v>
      </c>
    </row>
    <row r="232" spans="1:8" ht="12.75">
      <c r="A232" s="9" t="s">
        <v>438</v>
      </c>
      <c r="B232" s="4">
        <f t="shared" si="0"/>
        <v>230</v>
      </c>
      <c r="C232" s="9" t="s">
        <v>93</v>
      </c>
      <c r="D232" s="12" t="s">
        <v>439</v>
      </c>
      <c r="E232" s="4">
        <v>21</v>
      </c>
      <c r="F232" s="9" t="s">
        <v>11</v>
      </c>
      <c r="G232" s="13">
        <f t="shared" si="12"/>
        <v>82</v>
      </c>
      <c r="H232" s="1" t="s">
        <v>21</v>
      </c>
    </row>
    <row r="233" spans="1:8" ht="12.75">
      <c r="A233" s="9" t="s">
        <v>440</v>
      </c>
      <c r="B233" s="4">
        <f t="shared" si="0"/>
        <v>231</v>
      </c>
      <c r="C233" s="9" t="s">
        <v>93</v>
      </c>
      <c r="D233" s="12" t="s">
        <v>441</v>
      </c>
      <c r="E233" s="4">
        <v>21</v>
      </c>
      <c r="F233" s="9" t="s">
        <v>11</v>
      </c>
      <c r="G233" s="13">
        <f t="shared" si="12"/>
        <v>103</v>
      </c>
      <c r="H233" s="1" t="s">
        <v>21</v>
      </c>
    </row>
    <row r="234" spans="1:8" ht="12.75">
      <c r="A234" s="9" t="s">
        <v>442</v>
      </c>
      <c r="B234" s="4">
        <f t="shared" si="0"/>
        <v>232</v>
      </c>
      <c r="C234" s="9" t="s">
        <v>93</v>
      </c>
      <c r="D234" s="12" t="s">
        <v>443</v>
      </c>
      <c r="E234" s="4">
        <v>31</v>
      </c>
      <c r="F234" s="9" t="s">
        <v>11</v>
      </c>
      <c r="G234" s="13">
        <f t="shared" si="12"/>
        <v>318</v>
      </c>
      <c r="H234" s="1" t="s">
        <v>45</v>
      </c>
    </row>
    <row r="235" spans="1:8" ht="12.75">
      <c r="A235" s="9" t="s">
        <v>444</v>
      </c>
      <c r="B235" s="4">
        <f t="shared" si="0"/>
        <v>233</v>
      </c>
      <c r="C235" s="9" t="s">
        <v>93</v>
      </c>
      <c r="D235" s="12" t="s">
        <v>445</v>
      </c>
      <c r="E235" s="4">
        <v>31</v>
      </c>
      <c r="F235" s="9" t="s">
        <v>11</v>
      </c>
      <c r="G235" s="13">
        <f t="shared" si="12"/>
        <v>414</v>
      </c>
      <c r="H235" s="1" t="s">
        <v>45</v>
      </c>
    </row>
    <row r="236" spans="1:8" ht="12.75">
      <c r="A236" s="9" t="s">
        <v>446</v>
      </c>
      <c r="B236" s="4">
        <f t="shared" si="0"/>
        <v>234</v>
      </c>
      <c r="C236" s="9" t="s">
        <v>93</v>
      </c>
      <c r="D236" s="12" t="s">
        <v>447</v>
      </c>
      <c r="E236" s="4">
        <v>31</v>
      </c>
      <c r="F236" s="9" t="s">
        <v>11</v>
      </c>
      <c r="G236" s="13">
        <f t="shared" si="12"/>
        <v>406</v>
      </c>
      <c r="H236" s="1" t="s">
        <v>45</v>
      </c>
    </row>
    <row r="237" spans="1:8" ht="12.75">
      <c r="A237" s="9" t="s">
        <v>448</v>
      </c>
      <c r="B237" s="4">
        <f t="shared" si="0"/>
        <v>235</v>
      </c>
      <c r="C237" s="9" t="s">
        <v>93</v>
      </c>
      <c r="D237" s="12" t="s">
        <v>449</v>
      </c>
      <c r="E237" s="4">
        <v>31</v>
      </c>
      <c r="F237" s="9" t="s">
        <v>11</v>
      </c>
      <c r="G237" s="13">
        <f t="shared" si="12"/>
        <v>456</v>
      </c>
      <c r="H237" s="1" t="s">
        <v>45</v>
      </c>
    </row>
    <row r="238" spans="1:8" ht="12.75">
      <c r="A238" s="9" t="s">
        <v>450</v>
      </c>
      <c r="B238" s="4">
        <f t="shared" si="0"/>
        <v>236</v>
      </c>
      <c r="C238" s="9" t="s">
        <v>93</v>
      </c>
      <c r="D238" s="12" t="s">
        <v>451</v>
      </c>
      <c r="E238" s="4">
        <v>41</v>
      </c>
      <c r="F238" s="9" t="s">
        <v>11</v>
      </c>
      <c r="G238" s="13">
        <f t="shared" si="12"/>
        <v>1228</v>
      </c>
      <c r="H238" s="1" t="s">
        <v>30</v>
      </c>
    </row>
    <row r="239" spans="1:8" ht="12.75">
      <c r="A239" s="9" t="s">
        <v>452</v>
      </c>
      <c r="B239" s="4">
        <f t="shared" si="0"/>
        <v>237</v>
      </c>
      <c r="C239" s="9" t="s">
        <v>93</v>
      </c>
      <c r="D239" s="12" t="s">
        <v>453</v>
      </c>
      <c r="E239" s="4">
        <v>41</v>
      </c>
      <c r="F239" s="9" t="s">
        <v>11</v>
      </c>
      <c r="G239" s="13">
        <f t="shared" si="12"/>
        <v>1459</v>
      </c>
      <c r="H239" s="1" t="s">
        <v>30</v>
      </c>
    </row>
    <row r="240" spans="1:8" ht="12.75">
      <c r="A240" s="9" t="s">
        <v>454</v>
      </c>
      <c r="B240" s="4">
        <f t="shared" si="0"/>
        <v>238</v>
      </c>
      <c r="C240" s="9" t="s">
        <v>93</v>
      </c>
      <c r="D240" s="12" t="s">
        <v>455</v>
      </c>
      <c r="E240" s="4">
        <v>41</v>
      </c>
      <c r="F240" s="9" t="s">
        <v>11</v>
      </c>
      <c r="G240" s="13">
        <f t="shared" si="12"/>
        <v>1643</v>
      </c>
      <c r="H240" s="1" t="s">
        <v>30</v>
      </c>
    </row>
    <row r="241" spans="1:8" ht="12.75">
      <c r="A241" s="9" t="s">
        <v>456</v>
      </c>
      <c r="B241" s="4">
        <f t="shared" si="0"/>
        <v>239</v>
      </c>
      <c r="C241" s="9" t="s">
        <v>93</v>
      </c>
      <c r="D241" s="12" t="s">
        <v>457</v>
      </c>
      <c r="E241" s="4">
        <v>41</v>
      </c>
      <c r="F241" s="9" t="s">
        <v>11</v>
      </c>
      <c r="G241" s="13">
        <f t="shared" si="12"/>
        <v>1797</v>
      </c>
      <c r="H241" s="1" t="s">
        <v>30</v>
      </c>
    </row>
    <row r="242" spans="1:8" ht="25.5">
      <c r="A242" s="8" t="s">
        <v>458</v>
      </c>
      <c r="B242" s="6">
        <f t="shared" si="0"/>
        <v>240</v>
      </c>
      <c r="C242" s="8" t="s">
        <v>459</v>
      </c>
      <c r="D242" s="10" t="s">
        <v>460</v>
      </c>
      <c r="E242" s="6">
        <v>1</v>
      </c>
      <c r="F242" s="8" t="s">
        <v>11</v>
      </c>
      <c r="G242" s="11">
        <f>FLOOR(MIN(G22/3, G23/3, G24/3, G25/3),1)</f>
        <v>4</v>
      </c>
      <c r="H242" s="1" t="s">
        <v>12</v>
      </c>
    </row>
    <row r="243" spans="1:8" ht="25.5">
      <c r="A243" s="8" t="s">
        <v>461</v>
      </c>
      <c r="B243" s="6">
        <f t="shared" si="0"/>
        <v>241</v>
      </c>
      <c r="C243" s="8" t="s">
        <v>459</v>
      </c>
      <c r="D243" s="10" t="s">
        <v>462</v>
      </c>
      <c r="E243" s="6">
        <v>11</v>
      </c>
      <c r="F243" s="8" t="s">
        <v>11</v>
      </c>
      <c r="G243" s="11">
        <f>FLOOR(MIN(G26/3, G27/3, G28/3, G29/3),1)</f>
        <v>21</v>
      </c>
      <c r="H243" s="1" t="s">
        <v>37</v>
      </c>
    </row>
    <row r="244" spans="1:8" ht="25.5">
      <c r="A244" s="8" t="s">
        <v>463</v>
      </c>
      <c r="B244" s="6">
        <f t="shared" si="0"/>
        <v>242</v>
      </c>
      <c r="C244" s="8" t="s">
        <v>459</v>
      </c>
      <c r="D244" s="10" t="s">
        <v>464</v>
      </c>
      <c r="E244" s="6">
        <v>21</v>
      </c>
      <c r="F244" s="8" t="s">
        <v>11</v>
      </c>
      <c r="G244" s="11">
        <f>FLOOR(MIN(G30/3, G31/3, G32/3, G33/3),1)</f>
        <v>89</v>
      </c>
      <c r="H244" s="1" t="s">
        <v>21</v>
      </c>
    </row>
    <row r="245" spans="1:8" ht="25.5">
      <c r="A245" s="8" t="s">
        <v>465</v>
      </c>
      <c r="B245" s="6">
        <f t="shared" si="0"/>
        <v>243</v>
      </c>
      <c r="C245" s="8" t="s">
        <v>459</v>
      </c>
      <c r="D245" s="10" t="s">
        <v>466</v>
      </c>
      <c r="E245" s="6">
        <v>31</v>
      </c>
      <c r="F245" s="8" t="s">
        <v>11</v>
      </c>
      <c r="G245" s="11">
        <f>FLOOR(MIN(G34/3, G35/3, G36/3, G37/3),1)</f>
        <v>347</v>
      </c>
      <c r="H245" s="1" t="s">
        <v>45</v>
      </c>
    </row>
    <row r="246" spans="1:8" ht="25.5">
      <c r="A246" s="8" t="s">
        <v>467</v>
      </c>
      <c r="B246" s="6">
        <f t="shared" si="0"/>
        <v>244</v>
      </c>
      <c r="C246" s="8" t="s">
        <v>459</v>
      </c>
      <c r="D246" s="10" t="s">
        <v>468</v>
      </c>
      <c r="E246" s="6">
        <v>41</v>
      </c>
      <c r="F246" s="8" t="s">
        <v>11</v>
      </c>
      <c r="G246" s="11">
        <f>FLOOR(MIN(G38, G39, G40, G41)/3,1)</f>
        <v>1321</v>
      </c>
      <c r="H246" s="1" t="s">
        <v>30</v>
      </c>
    </row>
    <row r="247" spans="1:8" ht="12.75">
      <c r="A247" s="9" t="s">
        <v>469</v>
      </c>
      <c r="B247" s="4">
        <f t="shared" si="0"/>
        <v>245</v>
      </c>
      <c r="C247" s="9" t="s">
        <v>470</v>
      </c>
      <c r="D247" s="5" t="s">
        <v>10</v>
      </c>
      <c r="E247" s="4">
        <v>1</v>
      </c>
      <c r="F247" s="9" t="s">
        <v>11</v>
      </c>
      <c r="G247" s="13">
        <v>13</v>
      </c>
      <c r="H247" s="1" t="s">
        <v>12</v>
      </c>
    </row>
    <row r="248" spans="1:8" ht="12.75">
      <c r="A248" s="9" t="s">
        <v>471</v>
      </c>
      <c r="B248" s="4">
        <f t="shared" si="0"/>
        <v>246</v>
      </c>
      <c r="C248" s="9" t="s">
        <v>470</v>
      </c>
      <c r="D248" s="5" t="s">
        <v>14</v>
      </c>
      <c r="E248" s="4">
        <v>1</v>
      </c>
      <c r="F248" s="9" t="s">
        <v>11</v>
      </c>
      <c r="G248" s="13">
        <v>12</v>
      </c>
      <c r="H248" s="1" t="s">
        <v>12</v>
      </c>
    </row>
    <row r="249" spans="1:8" ht="12.75">
      <c r="A249" s="9" t="s">
        <v>472</v>
      </c>
      <c r="B249" s="4">
        <f t="shared" si="0"/>
        <v>247</v>
      </c>
      <c r="C249" s="9" t="s">
        <v>470</v>
      </c>
      <c r="D249" s="5" t="s">
        <v>16</v>
      </c>
      <c r="E249" s="4">
        <v>1</v>
      </c>
      <c r="F249" s="9" t="s">
        <v>11</v>
      </c>
      <c r="G249" s="13">
        <v>14</v>
      </c>
      <c r="H249" s="1" t="s">
        <v>12</v>
      </c>
    </row>
    <row r="250" spans="1:8" ht="12.75">
      <c r="A250" s="9" t="s">
        <v>473</v>
      </c>
      <c r="B250" s="4">
        <f t="shared" si="0"/>
        <v>248</v>
      </c>
      <c r="C250" s="9" t="s">
        <v>470</v>
      </c>
      <c r="D250" s="5" t="s">
        <v>18</v>
      </c>
      <c r="E250" s="4">
        <v>1</v>
      </c>
      <c r="F250" s="9" t="s">
        <v>11</v>
      </c>
      <c r="G250" s="13">
        <v>11</v>
      </c>
      <c r="H250" s="1" t="s">
        <v>12</v>
      </c>
    </row>
    <row r="251" spans="1:8" ht="12.75">
      <c r="A251" s="9" t="s">
        <v>474</v>
      </c>
      <c r="B251" s="4">
        <f t="shared" si="0"/>
        <v>249</v>
      </c>
      <c r="C251" s="9" t="s">
        <v>470</v>
      </c>
      <c r="D251" s="5" t="s">
        <v>20</v>
      </c>
      <c r="E251" s="4">
        <v>11</v>
      </c>
      <c r="F251" s="9" t="s">
        <v>11</v>
      </c>
      <c r="G251" s="13">
        <v>43</v>
      </c>
      <c r="H251" s="1" t="s">
        <v>37</v>
      </c>
    </row>
    <row r="252" spans="1:8" ht="12.75">
      <c r="A252" s="9" t="s">
        <v>475</v>
      </c>
      <c r="B252" s="4">
        <f t="shared" si="0"/>
        <v>250</v>
      </c>
      <c r="C252" s="9" t="s">
        <v>470</v>
      </c>
      <c r="D252" s="5" t="s">
        <v>23</v>
      </c>
      <c r="E252" s="4">
        <v>11</v>
      </c>
      <c r="F252" s="9" t="s">
        <v>11</v>
      </c>
      <c r="G252" s="13">
        <v>40</v>
      </c>
      <c r="H252" s="1" t="s">
        <v>37</v>
      </c>
    </row>
    <row r="253" spans="1:8" ht="12.75">
      <c r="A253" s="9" t="s">
        <v>476</v>
      </c>
      <c r="B253" s="4">
        <f t="shared" si="0"/>
        <v>251</v>
      </c>
      <c r="C253" s="9" t="s">
        <v>470</v>
      </c>
      <c r="D253" s="5" t="s">
        <v>25</v>
      </c>
      <c r="E253" s="4">
        <v>11</v>
      </c>
      <c r="F253" s="9" t="s">
        <v>11</v>
      </c>
      <c r="G253" s="13">
        <v>49</v>
      </c>
      <c r="H253" s="1" t="s">
        <v>37</v>
      </c>
    </row>
    <row r="254" spans="1:8" ht="12.75">
      <c r="A254" s="9" t="s">
        <v>477</v>
      </c>
      <c r="B254" s="4">
        <f t="shared" si="0"/>
        <v>252</v>
      </c>
      <c r="C254" s="9" t="s">
        <v>470</v>
      </c>
      <c r="D254" s="5" t="s">
        <v>27</v>
      </c>
      <c r="E254" s="4">
        <v>11</v>
      </c>
      <c r="F254" s="9" t="s">
        <v>11</v>
      </c>
      <c r="G254" s="13">
        <v>48</v>
      </c>
      <c r="H254" s="1" t="s">
        <v>37</v>
      </c>
    </row>
    <row r="255" spans="1:8" ht="12.75">
      <c r="A255" s="9" t="s">
        <v>478</v>
      </c>
      <c r="B255" s="4">
        <f t="shared" si="0"/>
        <v>253</v>
      </c>
      <c r="C255" s="9" t="s">
        <v>470</v>
      </c>
      <c r="D255" s="5" t="s">
        <v>29</v>
      </c>
      <c r="E255" s="4">
        <v>21</v>
      </c>
      <c r="F255" s="9" t="s">
        <v>11</v>
      </c>
      <c r="G255" s="13">
        <v>175</v>
      </c>
      <c r="H255" s="1" t="s">
        <v>21</v>
      </c>
    </row>
    <row r="256" spans="1:8" ht="12.75">
      <c r="A256" s="9" t="s">
        <v>479</v>
      </c>
      <c r="B256" s="4">
        <f t="shared" si="0"/>
        <v>254</v>
      </c>
      <c r="C256" s="9" t="s">
        <v>470</v>
      </c>
      <c r="D256" s="5" t="s">
        <v>10</v>
      </c>
      <c r="E256" s="4">
        <v>21</v>
      </c>
      <c r="F256" s="9" t="s">
        <v>11</v>
      </c>
      <c r="G256" s="13">
        <v>169</v>
      </c>
      <c r="H256" s="1" t="s">
        <v>21</v>
      </c>
    </row>
    <row r="257" spans="1:8" ht="12.75">
      <c r="A257" s="9" t="s">
        <v>480</v>
      </c>
      <c r="B257" s="4">
        <f t="shared" ref="B257:B511" si="13">ROW() - 2</f>
        <v>255</v>
      </c>
      <c r="C257" s="9" t="s">
        <v>470</v>
      </c>
      <c r="D257" s="5" t="s">
        <v>33</v>
      </c>
      <c r="E257" s="4">
        <v>21</v>
      </c>
      <c r="F257" s="9" t="s">
        <v>11</v>
      </c>
      <c r="G257" s="13">
        <v>165</v>
      </c>
      <c r="H257" s="1" t="s">
        <v>21</v>
      </c>
    </row>
    <row r="258" spans="1:8" ht="12.75">
      <c r="A258" s="9" t="s">
        <v>481</v>
      </c>
      <c r="B258" s="4">
        <f t="shared" si="13"/>
        <v>256</v>
      </c>
      <c r="C258" s="9" t="s">
        <v>470</v>
      </c>
      <c r="D258" s="5" t="s">
        <v>20</v>
      </c>
      <c r="E258" s="4">
        <v>21</v>
      </c>
      <c r="F258" s="9" t="s">
        <v>11</v>
      </c>
      <c r="G258" s="13">
        <v>159</v>
      </c>
      <c r="H258" s="1" t="s">
        <v>21</v>
      </c>
    </row>
    <row r="259" spans="1:8" ht="12.75">
      <c r="A259" s="9" t="s">
        <v>482</v>
      </c>
      <c r="B259" s="4">
        <f t="shared" si="13"/>
        <v>257</v>
      </c>
      <c r="C259" s="9" t="s">
        <v>470</v>
      </c>
      <c r="D259" s="5" t="s">
        <v>36</v>
      </c>
      <c r="E259" s="4">
        <v>31</v>
      </c>
      <c r="F259" s="9" t="s">
        <v>11</v>
      </c>
      <c r="G259" s="13">
        <v>753</v>
      </c>
      <c r="H259" s="1" t="s">
        <v>45</v>
      </c>
    </row>
    <row r="260" spans="1:8" ht="12.75">
      <c r="A260" s="9" t="s">
        <v>483</v>
      </c>
      <c r="B260" s="4">
        <f t="shared" si="13"/>
        <v>258</v>
      </c>
      <c r="C260" s="9" t="s">
        <v>470</v>
      </c>
      <c r="D260" s="5" t="s">
        <v>39</v>
      </c>
      <c r="E260" s="4">
        <v>31</v>
      </c>
      <c r="F260" s="9" t="s">
        <v>11</v>
      </c>
      <c r="G260" s="13">
        <v>691</v>
      </c>
      <c r="H260" s="1" t="s">
        <v>45</v>
      </c>
    </row>
    <row r="261" spans="1:8" ht="12.75">
      <c r="A261" s="9" t="s">
        <v>484</v>
      </c>
      <c r="B261" s="4">
        <f t="shared" si="13"/>
        <v>259</v>
      </c>
      <c r="C261" s="9" t="s">
        <v>470</v>
      </c>
      <c r="D261" s="5" t="s">
        <v>41</v>
      </c>
      <c r="E261" s="4">
        <v>31</v>
      </c>
      <c r="F261" s="9" t="s">
        <v>11</v>
      </c>
      <c r="G261" s="13">
        <v>815</v>
      </c>
      <c r="H261" s="1" t="s">
        <v>45</v>
      </c>
    </row>
    <row r="262" spans="1:8" ht="12.75">
      <c r="A262" s="9" t="s">
        <v>485</v>
      </c>
      <c r="B262" s="4">
        <f t="shared" si="13"/>
        <v>260</v>
      </c>
      <c r="C262" s="9" t="s">
        <v>470</v>
      </c>
      <c r="D262" s="5" t="s">
        <v>18</v>
      </c>
      <c r="E262" s="4">
        <v>31</v>
      </c>
      <c r="F262" s="9" t="s">
        <v>11</v>
      </c>
      <c r="G262" s="13">
        <v>707</v>
      </c>
      <c r="H262" s="1" t="s">
        <v>45</v>
      </c>
    </row>
    <row r="263" spans="1:8" ht="12.75">
      <c r="A263" s="9" t="s">
        <v>486</v>
      </c>
      <c r="B263" s="4">
        <f t="shared" si="13"/>
        <v>261</v>
      </c>
      <c r="C263" s="9" t="s">
        <v>470</v>
      </c>
      <c r="D263" s="5" t="s">
        <v>44</v>
      </c>
      <c r="E263" s="4">
        <v>41</v>
      </c>
      <c r="F263" s="9" t="s">
        <v>11</v>
      </c>
      <c r="G263" s="13">
        <v>3164</v>
      </c>
      <c r="H263" s="1" t="s">
        <v>30</v>
      </c>
    </row>
    <row r="264" spans="1:8" ht="12.75">
      <c r="A264" s="9" t="s">
        <v>487</v>
      </c>
      <c r="B264" s="4">
        <f t="shared" si="13"/>
        <v>262</v>
      </c>
      <c r="C264" s="9" t="s">
        <v>470</v>
      </c>
      <c r="D264" s="5" t="s">
        <v>16</v>
      </c>
      <c r="E264" s="4">
        <v>41</v>
      </c>
      <c r="F264" s="9" t="s">
        <v>11</v>
      </c>
      <c r="G264" s="13">
        <v>2580</v>
      </c>
      <c r="H264" s="1" t="s">
        <v>30</v>
      </c>
    </row>
    <row r="265" spans="1:8" ht="12.75">
      <c r="A265" s="9" t="s">
        <v>488</v>
      </c>
      <c r="B265" s="4">
        <f t="shared" si="13"/>
        <v>263</v>
      </c>
      <c r="C265" s="9" t="s">
        <v>470</v>
      </c>
      <c r="D265" s="5" t="s">
        <v>48</v>
      </c>
      <c r="E265" s="4">
        <v>41</v>
      </c>
      <c r="F265" s="9" t="s">
        <v>11</v>
      </c>
      <c r="G265" s="13">
        <v>3441</v>
      </c>
      <c r="H265" s="1" t="s">
        <v>30</v>
      </c>
    </row>
    <row r="266" spans="1:8" ht="12.75">
      <c r="A266" s="9" t="s">
        <v>489</v>
      </c>
      <c r="B266" s="4">
        <f t="shared" si="13"/>
        <v>264</v>
      </c>
      <c r="C266" s="9" t="s">
        <v>470</v>
      </c>
      <c r="D266" s="5" t="s">
        <v>50</v>
      </c>
      <c r="E266" s="4">
        <v>41</v>
      </c>
      <c r="F266" s="9" t="s">
        <v>11</v>
      </c>
      <c r="G266" s="13">
        <v>2888</v>
      </c>
      <c r="H266" s="1" t="s">
        <v>30</v>
      </c>
    </row>
    <row r="267" spans="1:8" ht="12.75">
      <c r="A267" s="8" t="s">
        <v>490</v>
      </c>
      <c r="B267" s="6">
        <f t="shared" si="13"/>
        <v>265</v>
      </c>
      <c r="C267" s="8" t="s">
        <v>459</v>
      </c>
      <c r="D267" s="10" t="s">
        <v>491</v>
      </c>
      <c r="E267" s="6">
        <v>1</v>
      </c>
      <c r="F267" s="6" t="s">
        <v>11</v>
      </c>
      <c r="G267" s="11">
        <f t="shared" ref="G267:G286" si="14">FLOOR(G247/2,1)</f>
        <v>6</v>
      </c>
      <c r="H267" s="1" t="s">
        <v>12</v>
      </c>
    </row>
    <row r="268" spans="1:8" ht="12.75">
      <c r="A268" s="8" t="s">
        <v>492</v>
      </c>
      <c r="B268" s="6">
        <f t="shared" si="13"/>
        <v>266</v>
      </c>
      <c r="C268" s="8" t="s">
        <v>459</v>
      </c>
      <c r="D268" s="10" t="s">
        <v>493</v>
      </c>
      <c r="E268" s="6">
        <v>1</v>
      </c>
      <c r="F268" s="6" t="s">
        <v>11</v>
      </c>
      <c r="G268" s="11">
        <f t="shared" si="14"/>
        <v>6</v>
      </c>
      <c r="H268" s="1" t="s">
        <v>12</v>
      </c>
    </row>
    <row r="269" spans="1:8" ht="12.75">
      <c r="A269" s="8" t="s">
        <v>494</v>
      </c>
      <c r="B269" s="6">
        <f t="shared" si="13"/>
        <v>267</v>
      </c>
      <c r="C269" s="8" t="s">
        <v>459</v>
      </c>
      <c r="D269" s="10" t="s">
        <v>495</v>
      </c>
      <c r="E269" s="6">
        <v>1</v>
      </c>
      <c r="F269" s="6" t="s">
        <v>11</v>
      </c>
      <c r="G269" s="11">
        <f t="shared" si="14"/>
        <v>7</v>
      </c>
      <c r="H269" s="1" t="s">
        <v>12</v>
      </c>
    </row>
    <row r="270" spans="1:8" ht="12.75">
      <c r="A270" s="8" t="s">
        <v>496</v>
      </c>
      <c r="B270" s="6">
        <f t="shared" si="13"/>
        <v>268</v>
      </c>
      <c r="C270" s="8" t="s">
        <v>459</v>
      </c>
      <c r="D270" s="10" t="s">
        <v>497</v>
      </c>
      <c r="E270" s="6">
        <v>1</v>
      </c>
      <c r="F270" s="6" t="s">
        <v>11</v>
      </c>
      <c r="G270" s="11">
        <f t="shared" si="14"/>
        <v>5</v>
      </c>
      <c r="H270" s="1" t="s">
        <v>12</v>
      </c>
    </row>
    <row r="271" spans="1:8" ht="12.75">
      <c r="A271" s="8" t="s">
        <v>498</v>
      </c>
      <c r="B271" s="6">
        <f t="shared" si="13"/>
        <v>269</v>
      </c>
      <c r="C271" s="8" t="s">
        <v>459</v>
      </c>
      <c r="D271" s="10" t="s">
        <v>499</v>
      </c>
      <c r="E271" s="6">
        <v>11</v>
      </c>
      <c r="F271" s="6" t="s">
        <v>11</v>
      </c>
      <c r="G271" s="11">
        <f t="shared" si="14"/>
        <v>21</v>
      </c>
      <c r="H271" s="1" t="s">
        <v>37</v>
      </c>
    </row>
    <row r="272" spans="1:8" ht="12.75">
      <c r="A272" s="8" t="s">
        <v>500</v>
      </c>
      <c r="B272" s="6">
        <f t="shared" si="13"/>
        <v>270</v>
      </c>
      <c r="C272" s="8" t="s">
        <v>459</v>
      </c>
      <c r="D272" s="10" t="s">
        <v>501</v>
      </c>
      <c r="E272" s="6">
        <v>11</v>
      </c>
      <c r="F272" s="6" t="s">
        <v>11</v>
      </c>
      <c r="G272" s="11">
        <f t="shared" si="14"/>
        <v>20</v>
      </c>
      <c r="H272" s="1" t="s">
        <v>37</v>
      </c>
    </row>
    <row r="273" spans="1:8" ht="12.75">
      <c r="A273" s="8" t="s">
        <v>502</v>
      </c>
      <c r="B273" s="6">
        <f t="shared" si="13"/>
        <v>271</v>
      </c>
      <c r="C273" s="8" t="s">
        <v>459</v>
      </c>
      <c r="D273" s="10" t="s">
        <v>503</v>
      </c>
      <c r="E273" s="6">
        <v>11</v>
      </c>
      <c r="F273" s="6" t="s">
        <v>11</v>
      </c>
      <c r="G273" s="11">
        <f t="shared" si="14"/>
        <v>24</v>
      </c>
      <c r="H273" s="1" t="s">
        <v>37</v>
      </c>
    </row>
    <row r="274" spans="1:8" ht="12.75">
      <c r="A274" s="8" t="s">
        <v>504</v>
      </c>
      <c r="B274" s="6">
        <f t="shared" si="13"/>
        <v>272</v>
      </c>
      <c r="C274" s="8" t="s">
        <v>459</v>
      </c>
      <c r="D274" s="10" t="s">
        <v>505</v>
      </c>
      <c r="E274" s="6">
        <v>11</v>
      </c>
      <c r="F274" s="6" t="s">
        <v>11</v>
      </c>
      <c r="G274" s="11">
        <f t="shared" si="14"/>
        <v>24</v>
      </c>
      <c r="H274" s="1" t="s">
        <v>37</v>
      </c>
    </row>
    <row r="275" spans="1:8" ht="12.75">
      <c r="A275" s="8" t="s">
        <v>506</v>
      </c>
      <c r="B275" s="6">
        <f t="shared" si="13"/>
        <v>273</v>
      </c>
      <c r="C275" s="8" t="s">
        <v>459</v>
      </c>
      <c r="D275" s="10" t="s">
        <v>507</v>
      </c>
      <c r="E275" s="6">
        <v>21</v>
      </c>
      <c r="F275" s="6" t="s">
        <v>11</v>
      </c>
      <c r="G275" s="11">
        <f t="shared" si="14"/>
        <v>87</v>
      </c>
      <c r="H275" s="1" t="s">
        <v>21</v>
      </c>
    </row>
    <row r="276" spans="1:8" ht="12.75">
      <c r="A276" s="8" t="s">
        <v>508</v>
      </c>
      <c r="B276" s="6">
        <f t="shared" si="13"/>
        <v>274</v>
      </c>
      <c r="C276" s="8" t="s">
        <v>459</v>
      </c>
      <c r="D276" s="10" t="s">
        <v>509</v>
      </c>
      <c r="E276" s="6">
        <v>21</v>
      </c>
      <c r="F276" s="6" t="s">
        <v>11</v>
      </c>
      <c r="G276" s="11">
        <f t="shared" si="14"/>
        <v>84</v>
      </c>
      <c r="H276" s="1" t="s">
        <v>21</v>
      </c>
    </row>
    <row r="277" spans="1:8" ht="12.75">
      <c r="A277" s="8" t="s">
        <v>510</v>
      </c>
      <c r="B277" s="6">
        <f t="shared" si="13"/>
        <v>275</v>
      </c>
      <c r="C277" s="8" t="s">
        <v>459</v>
      </c>
      <c r="D277" s="10" t="s">
        <v>511</v>
      </c>
      <c r="E277" s="6">
        <v>21</v>
      </c>
      <c r="F277" s="6" t="s">
        <v>11</v>
      </c>
      <c r="G277" s="11">
        <f t="shared" si="14"/>
        <v>82</v>
      </c>
      <c r="H277" s="1" t="s">
        <v>21</v>
      </c>
    </row>
    <row r="278" spans="1:8" ht="12.75">
      <c r="A278" s="8" t="s">
        <v>512</v>
      </c>
      <c r="B278" s="6">
        <f t="shared" si="13"/>
        <v>276</v>
      </c>
      <c r="C278" s="8" t="s">
        <v>459</v>
      </c>
      <c r="D278" s="10" t="s">
        <v>513</v>
      </c>
      <c r="E278" s="6">
        <v>21</v>
      </c>
      <c r="F278" s="6" t="s">
        <v>11</v>
      </c>
      <c r="G278" s="11">
        <f t="shared" si="14"/>
        <v>79</v>
      </c>
      <c r="H278" s="1" t="s">
        <v>21</v>
      </c>
    </row>
    <row r="279" spans="1:8" ht="12.75">
      <c r="A279" s="8" t="s">
        <v>514</v>
      </c>
      <c r="B279" s="6">
        <f t="shared" si="13"/>
        <v>277</v>
      </c>
      <c r="C279" s="8" t="s">
        <v>459</v>
      </c>
      <c r="D279" s="10" t="s">
        <v>515</v>
      </c>
      <c r="E279" s="6">
        <v>31</v>
      </c>
      <c r="F279" s="6" t="s">
        <v>11</v>
      </c>
      <c r="G279" s="11">
        <f t="shared" si="14"/>
        <v>376</v>
      </c>
      <c r="H279" s="1" t="s">
        <v>45</v>
      </c>
    </row>
    <row r="280" spans="1:8" ht="12.75">
      <c r="A280" s="8" t="s">
        <v>516</v>
      </c>
      <c r="B280" s="6">
        <f t="shared" si="13"/>
        <v>278</v>
      </c>
      <c r="C280" s="8" t="s">
        <v>459</v>
      </c>
      <c r="D280" s="10" t="s">
        <v>517</v>
      </c>
      <c r="E280" s="6">
        <v>31</v>
      </c>
      <c r="F280" s="6" t="s">
        <v>11</v>
      </c>
      <c r="G280" s="11">
        <f t="shared" si="14"/>
        <v>345</v>
      </c>
      <c r="H280" s="1" t="s">
        <v>45</v>
      </c>
    </row>
    <row r="281" spans="1:8" ht="12.75">
      <c r="A281" s="8" t="s">
        <v>518</v>
      </c>
      <c r="B281" s="6">
        <f t="shared" si="13"/>
        <v>279</v>
      </c>
      <c r="C281" s="8" t="s">
        <v>459</v>
      </c>
      <c r="D281" s="10" t="s">
        <v>519</v>
      </c>
      <c r="E281" s="6">
        <v>31</v>
      </c>
      <c r="F281" s="6" t="s">
        <v>11</v>
      </c>
      <c r="G281" s="11">
        <f t="shared" si="14"/>
        <v>407</v>
      </c>
      <c r="H281" s="1" t="s">
        <v>45</v>
      </c>
    </row>
    <row r="282" spans="1:8" ht="12.75">
      <c r="A282" s="8" t="s">
        <v>520</v>
      </c>
      <c r="B282" s="6">
        <f t="shared" si="13"/>
        <v>280</v>
      </c>
      <c r="C282" s="8" t="s">
        <v>459</v>
      </c>
      <c r="D282" s="10" t="s">
        <v>521</v>
      </c>
      <c r="E282" s="6">
        <v>31</v>
      </c>
      <c r="F282" s="6" t="s">
        <v>11</v>
      </c>
      <c r="G282" s="11">
        <f t="shared" si="14"/>
        <v>353</v>
      </c>
      <c r="H282" s="1" t="s">
        <v>45</v>
      </c>
    </row>
    <row r="283" spans="1:8" ht="12.75">
      <c r="A283" s="8" t="s">
        <v>522</v>
      </c>
      <c r="B283" s="6">
        <f t="shared" si="13"/>
        <v>281</v>
      </c>
      <c r="C283" s="8" t="s">
        <v>459</v>
      </c>
      <c r="D283" s="10" t="s">
        <v>523</v>
      </c>
      <c r="E283" s="6">
        <v>41</v>
      </c>
      <c r="F283" s="6" t="s">
        <v>11</v>
      </c>
      <c r="G283" s="11">
        <f t="shared" si="14"/>
        <v>1582</v>
      </c>
      <c r="H283" s="1" t="s">
        <v>30</v>
      </c>
    </row>
    <row r="284" spans="1:8" ht="12.75">
      <c r="A284" s="8" t="s">
        <v>524</v>
      </c>
      <c r="B284" s="6">
        <f t="shared" si="13"/>
        <v>282</v>
      </c>
      <c r="C284" s="8" t="s">
        <v>459</v>
      </c>
      <c r="D284" s="10" t="s">
        <v>525</v>
      </c>
      <c r="E284" s="6">
        <v>41</v>
      </c>
      <c r="F284" s="6" t="s">
        <v>11</v>
      </c>
      <c r="G284" s="11">
        <f t="shared" si="14"/>
        <v>1290</v>
      </c>
      <c r="H284" s="1" t="s">
        <v>30</v>
      </c>
    </row>
    <row r="285" spans="1:8" ht="12.75">
      <c r="A285" s="8" t="s">
        <v>526</v>
      </c>
      <c r="B285" s="6">
        <f t="shared" si="13"/>
        <v>283</v>
      </c>
      <c r="C285" s="8" t="s">
        <v>459</v>
      </c>
      <c r="D285" s="10" t="s">
        <v>527</v>
      </c>
      <c r="E285" s="6">
        <v>41</v>
      </c>
      <c r="F285" s="6" t="s">
        <v>11</v>
      </c>
      <c r="G285" s="11">
        <f t="shared" si="14"/>
        <v>1720</v>
      </c>
      <c r="H285" s="1" t="s">
        <v>30</v>
      </c>
    </row>
    <row r="286" spans="1:8" ht="12.75">
      <c r="A286" s="8" t="s">
        <v>528</v>
      </c>
      <c r="B286" s="6">
        <f t="shared" si="13"/>
        <v>284</v>
      </c>
      <c r="C286" s="8" t="s">
        <v>459</v>
      </c>
      <c r="D286" s="10" t="s">
        <v>529</v>
      </c>
      <c r="E286" s="6">
        <v>41</v>
      </c>
      <c r="F286" s="6" t="s">
        <v>11</v>
      </c>
      <c r="G286" s="11">
        <f t="shared" si="14"/>
        <v>1444</v>
      </c>
      <c r="H286" s="1" t="s">
        <v>30</v>
      </c>
    </row>
    <row r="287" spans="1:8" ht="12.75">
      <c r="A287" s="9" t="s">
        <v>530</v>
      </c>
      <c r="B287" s="4">
        <f t="shared" si="13"/>
        <v>285</v>
      </c>
      <c r="C287" s="9" t="s">
        <v>93</v>
      </c>
      <c r="D287" s="12" t="s">
        <v>531</v>
      </c>
      <c r="E287" s="4">
        <v>1</v>
      </c>
      <c r="F287" s="9" t="s">
        <v>11</v>
      </c>
      <c r="G287" s="13">
        <f>FLOOR((8*G267+G242)/3,1)</f>
        <v>17</v>
      </c>
      <c r="H287" s="1" t="s">
        <v>12</v>
      </c>
    </row>
    <row r="288" spans="1:8" ht="12.75">
      <c r="A288" s="9" t="s">
        <v>532</v>
      </c>
      <c r="B288" s="4">
        <f t="shared" si="13"/>
        <v>286</v>
      </c>
      <c r="C288" s="9" t="s">
        <v>93</v>
      </c>
      <c r="D288" s="12" t="s">
        <v>533</v>
      </c>
      <c r="E288" s="4">
        <v>1</v>
      </c>
      <c r="F288" s="9" t="s">
        <v>11</v>
      </c>
      <c r="G288" s="13">
        <f>FLOOR((8*G268+G242)/3,1)</f>
        <v>17</v>
      </c>
      <c r="H288" s="1" t="s">
        <v>12</v>
      </c>
    </row>
    <row r="289" spans="1:8" ht="12.75">
      <c r="A289" s="9" t="s">
        <v>534</v>
      </c>
      <c r="B289" s="4">
        <f t="shared" si="13"/>
        <v>287</v>
      </c>
      <c r="C289" s="9" t="s">
        <v>93</v>
      </c>
      <c r="D289" s="12" t="s">
        <v>535</v>
      </c>
      <c r="E289" s="4">
        <v>1</v>
      </c>
      <c r="F289" s="9" t="s">
        <v>11</v>
      </c>
      <c r="G289" s="13">
        <f>FLOOR((8*G269+G242)/3,1)</f>
        <v>20</v>
      </c>
      <c r="H289" s="1" t="s">
        <v>12</v>
      </c>
    </row>
    <row r="290" spans="1:8" ht="12.75">
      <c r="A290" s="9" t="s">
        <v>536</v>
      </c>
      <c r="B290" s="4">
        <f t="shared" si="13"/>
        <v>288</v>
      </c>
      <c r="C290" s="9" t="s">
        <v>93</v>
      </c>
      <c r="D290" s="12" t="s">
        <v>537</v>
      </c>
      <c r="E290" s="4">
        <v>1</v>
      </c>
      <c r="F290" s="9" t="s">
        <v>11</v>
      </c>
      <c r="G290" s="13">
        <f t="shared" ref="G290:G291" si="15">FLOOR((8*G270+G242)/3,1)</f>
        <v>14</v>
      </c>
      <c r="H290" s="1" t="s">
        <v>12</v>
      </c>
    </row>
    <row r="291" spans="1:8" ht="12.75">
      <c r="A291" s="9" t="s">
        <v>538</v>
      </c>
      <c r="B291" s="4">
        <f t="shared" si="13"/>
        <v>289</v>
      </c>
      <c r="C291" s="9" t="s">
        <v>93</v>
      </c>
      <c r="D291" s="12" t="s">
        <v>539</v>
      </c>
      <c r="E291" s="4">
        <v>11</v>
      </c>
      <c r="F291" s="9" t="s">
        <v>11</v>
      </c>
      <c r="G291" s="13">
        <f t="shared" si="15"/>
        <v>63</v>
      </c>
      <c r="H291" s="1" t="s">
        <v>37</v>
      </c>
    </row>
    <row r="292" spans="1:8" ht="12.75">
      <c r="A292" s="9" t="s">
        <v>540</v>
      </c>
      <c r="B292" s="4">
        <f t="shared" si="13"/>
        <v>290</v>
      </c>
      <c r="C292" s="9" t="s">
        <v>93</v>
      </c>
      <c r="D292" s="12" t="s">
        <v>541</v>
      </c>
      <c r="E292" s="4">
        <v>11</v>
      </c>
      <c r="F292" s="9" t="s">
        <v>11</v>
      </c>
      <c r="G292" s="13">
        <f>FLOOR((8*G272+G243)/3,1)</f>
        <v>60</v>
      </c>
      <c r="H292" s="1" t="s">
        <v>37</v>
      </c>
    </row>
    <row r="293" spans="1:8" ht="12.75">
      <c r="A293" s="9" t="s">
        <v>542</v>
      </c>
      <c r="B293" s="4">
        <f t="shared" si="13"/>
        <v>291</v>
      </c>
      <c r="C293" s="9" t="s">
        <v>93</v>
      </c>
      <c r="D293" s="12" t="s">
        <v>543</v>
      </c>
      <c r="E293" s="4">
        <v>11</v>
      </c>
      <c r="F293" s="9" t="s">
        <v>11</v>
      </c>
      <c r="G293" s="13">
        <f>FLOOR((8*G273+G243)/3,1)</f>
        <v>71</v>
      </c>
      <c r="H293" s="1" t="s">
        <v>37</v>
      </c>
    </row>
    <row r="294" spans="1:8" ht="12.75">
      <c r="A294" s="9" t="s">
        <v>544</v>
      </c>
      <c r="B294" s="4">
        <f t="shared" si="13"/>
        <v>292</v>
      </c>
      <c r="C294" s="9" t="s">
        <v>93</v>
      </c>
      <c r="D294" s="12" t="s">
        <v>545</v>
      </c>
      <c r="E294" s="4">
        <v>11</v>
      </c>
      <c r="F294" s="9" t="s">
        <v>11</v>
      </c>
      <c r="G294" s="13">
        <f t="shared" ref="G294:G295" si="16">FLOOR((8*G274+G243)/3,1)</f>
        <v>71</v>
      </c>
      <c r="H294" s="1" t="s">
        <v>37</v>
      </c>
    </row>
    <row r="295" spans="1:8" ht="12.75">
      <c r="A295" s="9" t="s">
        <v>546</v>
      </c>
      <c r="B295" s="4">
        <f t="shared" si="13"/>
        <v>293</v>
      </c>
      <c r="C295" s="9" t="s">
        <v>93</v>
      </c>
      <c r="D295" s="12" t="s">
        <v>547</v>
      </c>
      <c r="E295" s="4">
        <v>21</v>
      </c>
      <c r="F295" s="9" t="s">
        <v>11</v>
      </c>
      <c r="G295" s="13">
        <f t="shared" si="16"/>
        <v>261</v>
      </c>
      <c r="H295" s="1" t="s">
        <v>21</v>
      </c>
    </row>
    <row r="296" spans="1:8" ht="12.75">
      <c r="A296" s="9" t="s">
        <v>548</v>
      </c>
      <c r="B296" s="4">
        <f t="shared" si="13"/>
        <v>294</v>
      </c>
      <c r="C296" s="9" t="s">
        <v>93</v>
      </c>
      <c r="D296" s="12" t="s">
        <v>549</v>
      </c>
      <c r="E296" s="4">
        <v>21</v>
      </c>
      <c r="F296" s="9" t="s">
        <v>11</v>
      </c>
      <c r="G296" s="13">
        <f>FLOOR((8*G276+G244)/3,1)</f>
        <v>253</v>
      </c>
      <c r="H296" s="1" t="s">
        <v>21</v>
      </c>
    </row>
    <row r="297" spans="1:8" ht="12.75">
      <c r="A297" s="9" t="s">
        <v>550</v>
      </c>
      <c r="B297" s="4">
        <f t="shared" si="13"/>
        <v>295</v>
      </c>
      <c r="C297" s="9" t="s">
        <v>93</v>
      </c>
      <c r="D297" s="12" t="s">
        <v>551</v>
      </c>
      <c r="E297" s="4">
        <v>21</v>
      </c>
      <c r="F297" s="9" t="s">
        <v>11</v>
      </c>
      <c r="G297" s="13">
        <f>FLOOR((8*G277+G244)/3,1)</f>
        <v>248</v>
      </c>
      <c r="H297" s="1" t="s">
        <v>21</v>
      </c>
    </row>
    <row r="298" spans="1:8" ht="12.75">
      <c r="A298" s="9" t="s">
        <v>552</v>
      </c>
      <c r="B298" s="4">
        <f t="shared" si="13"/>
        <v>296</v>
      </c>
      <c r="C298" s="9" t="s">
        <v>93</v>
      </c>
      <c r="D298" s="12" t="s">
        <v>553</v>
      </c>
      <c r="E298" s="4">
        <v>21</v>
      </c>
      <c r="F298" s="9" t="s">
        <v>11</v>
      </c>
      <c r="G298" s="13">
        <f>FLOOR((8*G278+G244)/3,1)</f>
        <v>240</v>
      </c>
      <c r="H298" s="1" t="s">
        <v>21</v>
      </c>
    </row>
    <row r="299" spans="1:8" ht="12.75">
      <c r="A299" s="9" t="s">
        <v>554</v>
      </c>
      <c r="B299" s="4">
        <f t="shared" si="13"/>
        <v>297</v>
      </c>
      <c r="C299" s="9" t="s">
        <v>93</v>
      </c>
      <c r="D299" s="12" t="s">
        <v>555</v>
      </c>
      <c r="E299" s="4">
        <v>31</v>
      </c>
      <c r="F299" s="9" t="s">
        <v>11</v>
      </c>
      <c r="G299" s="13">
        <f>FLOOR((8*G279+G2545)/3,1)</f>
        <v>1002</v>
      </c>
      <c r="H299" s="1" t="s">
        <v>45</v>
      </c>
    </row>
    <row r="300" spans="1:8" ht="12.75">
      <c r="A300" s="9" t="s">
        <v>556</v>
      </c>
      <c r="B300" s="4">
        <f t="shared" si="13"/>
        <v>298</v>
      </c>
      <c r="C300" s="9" t="s">
        <v>93</v>
      </c>
      <c r="D300" s="12" t="s">
        <v>557</v>
      </c>
      <c r="E300" s="4">
        <v>31</v>
      </c>
      <c r="F300" s="9" t="s">
        <v>11</v>
      </c>
      <c r="G300" s="13">
        <f>FLOOR((8*G280+G2545)/3,1)</f>
        <v>920</v>
      </c>
      <c r="H300" s="1" t="s">
        <v>45</v>
      </c>
    </row>
    <row r="301" spans="1:8" ht="12.75">
      <c r="A301" s="9" t="s">
        <v>558</v>
      </c>
      <c r="B301" s="4">
        <f t="shared" si="13"/>
        <v>299</v>
      </c>
      <c r="C301" s="9" t="s">
        <v>93</v>
      </c>
      <c r="D301" s="12" t="s">
        <v>559</v>
      </c>
      <c r="E301" s="4">
        <v>31</v>
      </c>
      <c r="F301" s="9" t="s">
        <v>11</v>
      </c>
      <c r="G301" s="13">
        <f>FLOOR((8*G281+G245)/3,1)</f>
        <v>1201</v>
      </c>
      <c r="H301" s="1" t="s">
        <v>45</v>
      </c>
    </row>
    <row r="302" spans="1:8" ht="12.75">
      <c r="A302" s="9" t="s">
        <v>560</v>
      </c>
      <c r="B302" s="4">
        <f t="shared" si="13"/>
        <v>300</v>
      </c>
      <c r="C302" s="9" t="s">
        <v>93</v>
      </c>
      <c r="D302" s="12" t="s">
        <v>561</v>
      </c>
      <c r="E302" s="4">
        <v>31</v>
      </c>
      <c r="F302" s="9" t="s">
        <v>11</v>
      </c>
      <c r="G302" s="13">
        <f t="shared" ref="G302:G303" si="17">FLOOR((8*G282+G245)/3,1)</f>
        <v>1057</v>
      </c>
      <c r="H302" s="1" t="s">
        <v>45</v>
      </c>
    </row>
    <row r="303" spans="1:8" ht="12.75">
      <c r="A303" s="9" t="s">
        <v>562</v>
      </c>
      <c r="B303" s="4">
        <f t="shared" si="13"/>
        <v>301</v>
      </c>
      <c r="C303" s="9" t="s">
        <v>93</v>
      </c>
      <c r="D303" s="12" t="s">
        <v>563</v>
      </c>
      <c r="E303" s="4">
        <v>41</v>
      </c>
      <c r="F303" s="9" t="s">
        <v>11</v>
      </c>
      <c r="G303" s="13">
        <f t="shared" si="17"/>
        <v>4659</v>
      </c>
      <c r="H303" s="1" t="s">
        <v>30</v>
      </c>
    </row>
    <row r="304" spans="1:8" ht="12.75">
      <c r="A304" s="9" t="s">
        <v>564</v>
      </c>
      <c r="B304" s="4">
        <f t="shared" si="13"/>
        <v>302</v>
      </c>
      <c r="C304" s="9" t="s">
        <v>93</v>
      </c>
      <c r="D304" s="12" t="s">
        <v>565</v>
      </c>
      <c r="E304" s="4">
        <v>41</v>
      </c>
      <c r="F304" s="9" t="s">
        <v>11</v>
      </c>
      <c r="G304" s="13">
        <f>FLOOR((8*G284+G246)/3,1)</f>
        <v>3880</v>
      </c>
      <c r="H304" s="1" t="s">
        <v>30</v>
      </c>
    </row>
    <row r="305" spans="1:8" ht="12.75">
      <c r="A305" s="9" t="s">
        <v>566</v>
      </c>
      <c r="B305" s="4">
        <f t="shared" si="13"/>
        <v>303</v>
      </c>
      <c r="C305" s="9" t="s">
        <v>93</v>
      </c>
      <c r="D305" s="12" t="s">
        <v>567</v>
      </c>
      <c r="E305" s="4">
        <v>41</v>
      </c>
      <c r="F305" s="9" t="s">
        <v>11</v>
      </c>
      <c r="G305" s="13">
        <f>FLOOR((8*G285+G246)/3,1)</f>
        <v>5027</v>
      </c>
      <c r="H305" s="1" t="s">
        <v>30</v>
      </c>
    </row>
    <row r="306" spans="1:8" ht="12.75">
      <c r="A306" s="9" t="s">
        <v>568</v>
      </c>
      <c r="B306" s="4">
        <f t="shared" si="13"/>
        <v>304</v>
      </c>
      <c r="C306" s="9" t="s">
        <v>93</v>
      </c>
      <c r="D306" s="12" t="s">
        <v>569</v>
      </c>
      <c r="E306" s="4">
        <v>41</v>
      </c>
      <c r="F306" s="9" t="s">
        <v>11</v>
      </c>
      <c r="G306" s="13">
        <f>FLOOR((8*G286+G246)/3,1)</f>
        <v>4291</v>
      </c>
      <c r="H306" s="1" t="s">
        <v>30</v>
      </c>
    </row>
    <row r="307" spans="1:8" ht="12.75">
      <c r="A307" s="8" t="s">
        <v>570</v>
      </c>
      <c r="B307" s="6">
        <f t="shared" si="13"/>
        <v>305</v>
      </c>
      <c r="C307" s="8" t="s">
        <v>571</v>
      </c>
      <c r="D307" s="10" t="s">
        <v>572</v>
      </c>
      <c r="E307" s="6">
        <v>1</v>
      </c>
      <c r="F307" s="8" t="s">
        <v>11</v>
      </c>
      <c r="G307" s="11">
        <v>13</v>
      </c>
      <c r="H307" s="1" t="s">
        <v>12</v>
      </c>
    </row>
    <row r="308" spans="1:8" ht="12.75">
      <c r="A308" s="8" t="s">
        <v>573</v>
      </c>
      <c r="B308" s="6">
        <f t="shared" si="13"/>
        <v>306</v>
      </c>
      <c r="C308" s="8" t="s">
        <v>574</v>
      </c>
      <c r="D308" s="10" t="s">
        <v>575</v>
      </c>
      <c r="E308" s="6">
        <v>11</v>
      </c>
      <c r="F308" s="8" t="s">
        <v>11</v>
      </c>
      <c r="G308" s="11">
        <v>74</v>
      </c>
      <c r="H308" s="1" t="s">
        <v>37</v>
      </c>
    </row>
    <row r="309" spans="1:8" ht="12.75">
      <c r="A309" s="8" t="s">
        <v>576</v>
      </c>
      <c r="B309" s="6">
        <f t="shared" si="13"/>
        <v>307</v>
      </c>
      <c r="C309" s="8" t="s">
        <v>574</v>
      </c>
      <c r="D309" s="10" t="s">
        <v>577</v>
      </c>
      <c r="E309" s="6">
        <v>21</v>
      </c>
      <c r="F309" s="8" t="s">
        <v>11</v>
      </c>
      <c r="G309" s="11">
        <v>210</v>
      </c>
      <c r="H309" s="1" t="s">
        <v>21</v>
      </c>
    </row>
    <row r="310" spans="1:8" ht="12.75">
      <c r="A310" s="8" t="s">
        <v>578</v>
      </c>
      <c r="B310" s="6">
        <f t="shared" si="13"/>
        <v>308</v>
      </c>
      <c r="C310" s="8" t="s">
        <v>574</v>
      </c>
      <c r="D310" s="10" t="s">
        <v>579</v>
      </c>
      <c r="E310" s="6">
        <v>31</v>
      </c>
      <c r="F310" s="8" t="s">
        <v>11</v>
      </c>
      <c r="G310" s="11">
        <v>1208</v>
      </c>
      <c r="H310" s="1" t="s">
        <v>45</v>
      </c>
    </row>
    <row r="311" spans="1:8" ht="12.75">
      <c r="A311" s="8" t="s">
        <v>580</v>
      </c>
      <c r="B311" s="6">
        <f t="shared" si="13"/>
        <v>309</v>
      </c>
      <c r="C311" s="8" t="s">
        <v>574</v>
      </c>
      <c r="D311" s="10" t="s">
        <v>581</v>
      </c>
      <c r="E311" s="6">
        <v>41</v>
      </c>
      <c r="F311" s="8" t="s">
        <v>11</v>
      </c>
      <c r="G311" s="11">
        <v>3768</v>
      </c>
      <c r="H311" s="1" t="s">
        <v>30</v>
      </c>
    </row>
    <row r="312" spans="1:8" ht="12.75">
      <c r="A312" s="9" t="s">
        <v>582</v>
      </c>
      <c r="B312" s="4">
        <f t="shared" si="13"/>
        <v>310</v>
      </c>
      <c r="C312" s="9" t="s">
        <v>583</v>
      </c>
      <c r="D312" s="12" t="s">
        <v>584</v>
      </c>
      <c r="E312" s="4">
        <v>1</v>
      </c>
      <c r="F312" s="9" t="s">
        <v>11</v>
      </c>
      <c r="G312" s="13">
        <v>5</v>
      </c>
      <c r="H312" s="1" t="s">
        <v>12</v>
      </c>
    </row>
    <row r="313" spans="1:8" ht="12.75">
      <c r="A313" s="9" t="s">
        <v>585</v>
      </c>
      <c r="B313" s="4">
        <f t="shared" si="13"/>
        <v>311</v>
      </c>
      <c r="C313" s="9" t="s">
        <v>586</v>
      </c>
      <c r="D313" s="12" t="s">
        <v>587</v>
      </c>
      <c r="E313" s="4">
        <v>11</v>
      </c>
      <c r="F313" s="9" t="s">
        <v>11</v>
      </c>
      <c r="G313" s="13">
        <v>22</v>
      </c>
      <c r="H313" s="1" t="s">
        <v>37</v>
      </c>
    </row>
    <row r="314" spans="1:8" ht="12.75">
      <c r="A314" s="9" t="s">
        <v>588</v>
      </c>
      <c r="B314" s="4">
        <f t="shared" si="13"/>
        <v>312</v>
      </c>
      <c r="C314" s="9" t="s">
        <v>589</v>
      </c>
      <c r="D314" s="12" t="s">
        <v>590</v>
      </c>
      <c r="E314" s="4">
        <v>21</v>
      </c>
      <c r="F314" s="9" t="s">
        <v>11</v>
      </c>
      <c r="G314" s="13">
        <v>100</v>
      </c>
      <c r="H314" s="1" t="s">
        <v>21</v>
      </c>
    </row>
    <row r="315" spans="1:8" ht="12.75">
      <c r="A315" s="9" t="s">
        <v>591</v>
      </c>
      <c r="B315" s="4">
        <f t="shared" si="13"/>
        <v>313</v>
      </c>
      <c r="C315" s="9" t="s">
        <v>592</v>
      </c>
      <c r="D315" s="12" t="s">
        <v>593</v>
      </c>
      <c r="E315" s="4">
        <v>31</v>
      </c>
      <c r="F315" s="9" t="s">
        <v>11</v>
      </c>
      <c r="G315" s="13">
        <v>389</v>
      </c>
      <c r="H315" s="1" t="s">
        <v>45</v>
      </c>
    </row>
    <row r="316" spans="1:8" ht="12.75">
      <c r="A316" s="9" t="s">
        <v>594</v>
      </c>
      <c r="B316" s="4">
        <f t="shared" si="13"/>
        <v>314</v>
      </c>
      <c r="C316" s="9" t="s">
        <v>595</v>
      </c>
      <c r="D316" s="12" t="s">
        <v>596</v>
      </c>
      <c r="E316" s="4">
        <v>41</v>
      </c>
      <c r="F316" s="9" t="s">
        <v>11</v>
      </c>
      <c r="G316" s="13">
        <v>1720</v>
      </c>
      <c r="H316" s="1" t="s">
        <v>30</v>
      </c>
    </row>
    <row r="317" spans="1:8" ht="25.5">
      <c r="A317" s="14" t="s">
        <v>597</v>
      </c>
      <c r="B317" s="14">
        <f t="shared" si="13"/>
        <v>315</v>
      </c>
      <c r="C317" s="14" t="s">
        <v>598</v>
      </c>
      <c r="D317" s="15" t="s">
        <v>599</v>
      </c>
      <c r="E317" s="14">
        <v>1</v>
      </c>
      <c r="F317" s="14" t="s">
        <v>600</v>
      </c>
      <c r="G317" s="14">
        <v>21</v>
      </c>
      <c r="H317" s="1" t="s">
        <v>12</v>
      </c>
    </row>
    <row r="318" spans="1:8" ht="12.75">
      <c r="A318" s="14" t="s">
        <v>601</v>
      </c>
      <c r="B318" s="14">
        <f t="shared" si="13"/>
        <v>316</v>
      </c>
      <c r="C318" s="14" t="s">
        <v>598</v>
      </c>
      <c r="D318" s="15" t="s">
        <v>602</v>
      </c>
      <c r="E318" s="14">
        <v>1</v>
      </c>
      <c r="F318" s="14" t="s">
        <v>600</v>
      </c>
      <c r="G318" s="14">
        <v>17</v>
      </c>
      <c r="H318" s="1" t="s">
        <v>12</v>
      </c>
    </row>
    <row r="319" spans="1:8" ht="12.75">
      <c r="A319" s="14" t="s">
        <v>603</v>
      </c>
      <c r="B319" s="14">
        <f t="shared" si="13"/>
        <v>317</v>
      </c>
      <c r="C319" s="14" t="s">
        <v>598</v>
      </c>
      <c r="D319" s="15" t="s">
        <v>604</v>
      </c>
      <c r="E319" s="14">
        <v>1</v>
      </c>
      <c r="F319" s="14" t="s">
        <v>600</v>
      </c>
      <c r="G319" s="14">
        <v>17</v>
      </c>
      <c r="H319" s="1" t="s">
        <v>12</v>
      </c>
    </row>
    <row r="320" spans="1:8" ht="25.5">
      <c r="A320" s="14" t="s">
        <v>605</v>
      </c>
      <c r="B320" s="14">
        <f t="shared" si="13"/>
        <v>318</v>
      </c>
      <c r="C320" s="14" t="s">
        <v>598</v>
      </c>
      <c r="D320" s="15" t="s">
        <v>606</v>
      </c>
      <c r="E320" s="14">
        <v>1</v>
      </c>
      <c r="F320" s="14" t="s">
        <v>600</v>
      </c>
      <c r="G320" s="14">
        <v>21</v>
      </c>
      <c r="H320" s="1" t="s">
        <v>12</v>
      </c>
    </row>
    <row r="321" spans="1:8" ht="25.5">
      <c r="A321" s="14" t="s">
        <v>607</v>
      </c>
      <c r="B321" s="14">
        <f t="shared" si="13"/>
        <v>319</v>
      </c>
      <c r="C321" s="14" t="s">
        <v>598</v>
      </c>
      <c r="D321" s="15" t="s">
        <v>608</v>
      </c>
      <c r="E321" s="14">
        <v>1</v>
      </c>
      <c r="F321" s="14" t="s">
        <v>600</v>
      </c>
      <c r="G321" s="14">
        <v>17</v>
      </c>
      <c r="H321" s="1" t="s">
        <v>12</v>
      </c>
    </row>
    <row r="322" spans="1:8" ht="12.75">
      <c r="A322" s="14" t="s">
        <v>609</v>
      </c>
      <c r="B322" s="14">
        <f t="shared" si="13"/>
        <v>320</v>
      </c>
      <c r="C322" s="14" t="s">
        <v>598</v>
      </c>
      <c r="D322" s="15" t="s">
        <v>610</v>
      </c>
      <c r="E322" s="14">
        <v>1</v>
      </c>
      <c r="F322" s="14" t="s">
        <v>600</v>
      </c>
      <c r="G322" s="14">
        <v>20</v>
      </c>
      <c r="H322" s="1" t="s">
        <v>12</v>
      </c>
    </row>
    <row r="323" spans="1:8" ht="25.5">
      <c r="A323" s="14" t="s">
        <v>611</v>
      </c>
      <c r="B323" s="14">
        <f t="shared" si="13"/>
        <v>321</v>
      </c>
      <c r="C323" s="14" t="s">
        <v>598</v>
      </c>
      <c r="D323" s="15" t="s">
        <v>612</v>
      </c>
      <c r="E323" s="14">
        <v>1</v>
      </c>
      <c r="F323" s="14" t="s">
        <v>600</v>
      </c>
      <c r="G323" s="14">
        <v>18</v>
      </c>
      <c r="H323" s="1" t="s">
        <v>12</v>
      </c>
    </row>
    <row r="324" spans="1:8" ht="25.5">
      <c r="A324" s="14" t="s">
        <v>613</v>
      </c>
      <c r="B324" s="14">
        <f t="shared" si="13"/>
        <v>322</v>
      </c>
      <c r="C324" s="14" t="s">
        <v>598</v>
      </c>
      <c r="D324" s="15" t="s">
        <v>614</v>
      </c>
      <c r="E324" s="14">
        <v>1</v>
      </c>
      <c r="F324" s="14" t="s">
        <v>600</v>
      </c>
      <c r="G324" s="14">
        <v>17</v>
      </c>
      <c r="H324" s="1" t="s">
        <v>12</v>
      </c>
    </row>
    <row r="325" spans="1:8" ht="12.75">
      <c r="A325" s="14" t="s">
        <v>615</v>
      </c>
      <c r="B325" s="14">
        <f t="shared" si="13"/>
        <v>323</v>
      </c>
      <c r="C325" s="14" t="s">
        <v>598</v>
      </c>
      <c r="D325" s="15" t="s">
        <v>616</v>
      </c>
      <c r="E325" s="14">
        <v>1</v>
      </c>
      <c r="F325" s="14" t="s">
        <v>600</v>
      </c>
      <c r="G325" s="14">
        <v>16</v>
      </c>
      <c r="H325" s="1" t="s">
        <v>12</v>
      </c>
    </row>
    <row r="326" spans="1:8" ht="12.75">
      <c r="A326" s="14" t="s">
        <v>617</v>
      </c>
      <c r="B326" s="14">
        <f t="shared" si="13"/>
        <v>324</v>
      </c>
      <c r="C326" s="14" t="s">
        <v>598</v>
      </c>
      <c r="D326" s="15" t="s">
        <v>618</v>
      </c>
      <c r="E326" s="14">
        <v>1</v>
      </c>
      <c r="F326" s="14" t="s">
        <v>600</v>
      </c>
      <c r="G326" s="14">
        <v>19</v>
      </c>
      <c r="H326" s="1" t="s">
        <v>12</v>
      </c>
    </row>
    <row r="327" spans="1:8" ht="12.75">
      <c r="A327" s="14" t="s">
        <v>619</v>
      </c>
      <c r="B327" s="14">
        <f t="shared" si="13"/>
        <v>325</v>
      </c>
      <c r="C327" s="14" t="s">
        <v>598</v>
      </c>
      <c r="D327" s="15" t="s">
        <v>620</v>
      </c>
      <c r="E327" s="14">
        <v>1</v>
      </c>
      <c r="F327" s="14" t="s">
        <v>600</v>
      </c>
      <c r="G327" s="14">
        <v>15</v>
      </c>
      <c r="H327" s="1" t="s">
        <v>12</v>
      </c>
    </row>
    <row r="328" spans="1:8" ht="12.75">
      <c r="A328" s="14" t="s">
        <v>621</v>
      </c>
      <c r="B328" s="14">
        <f t="shared" si="13"/>
        <v>326</v>
      </c>
      <c r="C328" s="14" t="s">
        <v>598</v>
      </c>
      <c r="D328" s="15" t="s">
        <v>622</v>
      </c>
      <c r="E328" s="14">
        <v>1</v>
      </c>
      <c r="F328" s="14" t="s">
        <v>600</v>
      </c>
      <c r="G328" s="14">
        <v>16</v>
      </c>
      <c r="H328" s="1" t="s">
        <v>12</v>
      </c>
    </row>
    <row r="329" spans="1:8" ht="12.75">
      <c r="A329" s="16" t="s">
        <v>623</v>
      </c>
      <c r="B329" s="16">
        <f t="shared" si="13"/>
        <v>327</v>
      </c>
      <c r="C329" s="16" t="s">
        <v>598</v>
      </c>
      <c r="D329" s="17" t="s">
        <v>624</v>
      </c>
      <c r="E329" s="16">
        <v>21</v>
      </c>
      <c r="F329" s="16" t="s">
        <v>600</v>
      </c>
      <c r="G329" s="16">
        <v>331</v>
      </c>
      <c r="H329" s="1" t="s">
        <v>37</v>
      </c>
    </row>
    <row r="330" spans="1:8" ht="12.75">
      <c r="A330" s="16" t="s">
        <v>625</v>
      </c>
      <c r="B330" s="16">
        <f t="shared" si="13"/>
        <v>328</v>
      </c>
      <c r="C330" s="16" t="s">
        <v>598</v>
      </c>
      <c r="D330" s="17" t="s">
        <v>626</v>
      </c>
      <c r="E330" s="16">
        <v>21</v>
      </c>
      <c r="F330" s="16" t="s">
        <v>600</v>
      </c>
      <c r="G330" s="16">
        <v>237</v>
      </c>
      <c r="H330" s="1" t="s">
        <v>37</v>
      </c>
    </row>
    <row r="331" spans="1:8" ht="12.75">
      <c r="A331" s="16" t="s">
        <v>627</v>
      </c>
      <c r="B331" s="16">
        <f t="shared" si="13"/>
        <v>329</v>
      </c>
      <c r="C331" s="16" t="s">
        <v>598</v>
      </c>
      <c r="D331" s="17" t="s">
        <v>628</v>
      </c>
      <c r="E331" s="16">
        <v>21</v>
      </c>
      <c r="F331" s="16" t="s">
        <v>600</v>
      </c>
      <c r="G331" s="16">
        <v>273</v>
      </c>
      <c r="H331" s="1" t="s">
        <v>37</v>
      </c>
    </row>
    <row r="332" spans="1:8" ht="12.75">
      <c r="A332" s="16" t="s">
        <v>629</v>
      </c>
      <c r="B332" s="16">
        <f t="shared" si="13"/>
        <v>330</v>
      </c>
      <c r="C332" s="16" t="s">
        <v>598</v>
      </c>
      <c r="D332" s="17" t="s">
        <v>630</v>
      </c>
      <c r="E332" s="16">
        <v>21</v>
      </c>
      <c r="F332" s="16" t="s">
        <v>600</v>
      </c>
      <c r="G332" s="16">
        <v>344</v>
      </c>
      <c r="H332" s="1" t="s">
        <v>37</v>
      </c>
    </row>
    <row r="333" spans="1:8" ht="12.75">
      <c r="A333" s="16" t="s">
        <v>631</v>
      </c>
      <c r="B333" s="16">
        <f t="shared" si="13"/>
        <v>331</v>
      </c>
      <c r="C333" s="16" t="s">
        <v>598</v>
      </c>
      <c r="D333" s="17" t="s">
        <v>632</v>
      </c>
      <c r="E333" s="16">
        <v>21</v>
      </c>
      <c r="F333" s="16" t="s">
        <v>600</v>
      </c>
      <c r="G333" s="16">
        <v>301</v>
      </c>
      <c r="H333" s="1" t="s">
        <v>37</v>
      </c>
    </row>
    <row r="334" spans="1:8" ht="12.75">
      <c r="A334" s="16" t="s">
        <v>633</v>
      </c>
      <c r="B334" s="16">
        <f t="shared" si="13"/>
        <v>332</v>
      </c>
      <c r="C334" s="16" t="s">
        <v>598</v>
      </c>
      <c r="D334" s="17" t="s">
        <v>634</v>
      </c>
      <c r="E334" s="16">
        <v>21</v>
      </c>
      <c r="F334" s="16" t="s">
        <v>600</v>
      </c>
      <c r="G334" s="16">
        <v>323</v>
      </c>
      <c r="H334" s="1" t="s">
        <v>37</v>
      </c>
    </row>
    <row r="335" spans="1:8" ht="12.75">
      <c r="A335" s="16" t="s">
        <v>635</v>
      </c>
      <c r="B335" s="16">
        <f t="shared" si="13"/>
        <v>333</v>
      </c>
      <c r="C335" s="16" t="s">
        <v>598</v>
      </c>
      <c r="D335" s="17" t="s">
        <v>636</v>
      </c>
      <c r="E335" s="16">
        <v>21</v>
      </c>
      <c r="F335" s="16" t="s">
        <v>600</v>
      </c>
      <c r="G335" s="16">
        <v>232</v>
      </c>
      <c r="H335" s="1" t="s">
        <v>37</v>
      </c>
    </row>
    <row r="336" spans="1:8" ht="12.75">
      <c r="A336" s="16" t="s">
        <v>637</v>
      </c>
      <c r="B336" s="16">
        <f t="shared" si="13"/>
        <v>334</v>
      </c>
      <c r="C336" s="16" t="s">
        <v>598</v>
      </c>
      <c r="D336" s="17" t="s">
        <v>638</v>
      </c>
      <c r="E336" s="16">
        <v>21</v>
      </c>
      <c r="F336" s="16" t="s">
        <v>600</v>
      </c>
      <c r="G336" s="16">
        <v>293</v>
      </c>
      <c r="H336" s="1" t="s">
        <v>37</v>
      </c>
    </row>
    <row r="337" spans="1:8" ht="12.75">
      <c r="A337" s="16" t="s">
        <v>639</v>
      </c>
      <c r="B337" s="16">
        <f t="shared" si="13"/>
        <v>335</v>
      </c>
      <c r="C337" s="16" t="s">
        <v>598</v>
      </c>
      <c r="D337" s="17" t="s">
        <v>640</v>
      </c>
      <c r="E337" s="16">
        <v>21</v>
      </c>
      <c r="F337" s="16" t="s">
        <v>600</v>
      </c>
      <c r="G337" s="16">
        <v>230</v>
      </c>
      <c r="H337" s="1" t="s">
        <v>37</v>
      </c>
    </row>
    <row r="338" spans="1:8" ht="12.75">
      <c r="A338" s="16" t="s">
        <v>641</v>
      </c>
      <c r="B338" s="16">
        <f t="shared" si="13"/>
        <v>336</v>
      </c>
      <c r="C338" s="16" t="s">
        <v>598</v>
      </c>
      <c r="D338" s="17" t="s">
        <v>642</v>
      </c>
      <c r="E338" s="16">
        <v>21</v>
      </c>
      <c r="F338" s="16" t="s">
        <v>600</v>
      </c>
      <c r="G338" s="16">
        <v>320</v>
      </c>
      <c r="H338" s="1" t="s">
        <v>37</v>
      </c>
    </row>
    <row r="339" spans="1:8" ht="12.75">
      <c r="A339" s="16" t="s">
        <v>643</v>
      </c>
      <c r="B339" s="16">
        <f t="shared" si="13"/>
        <v>337</v>
      </c>
      <c r="C339" s="16" t="s">
        <v>598</v>
      </c>
      <c r="D339" s="17" t="s">
        <v>644</v>
      </c>
      <c r="E339" s="16">
        <v>21</v>
      </c>
      <c r="F339" s="16" t="s">
        <v>600</v>
      </c>
      <c r="G339" s="16">
        <v>300</v>
      </c>
      <c r="H339" s="1" t="s">
        <v>37</v>
      </c>
    </row>
    <row r="340" spans="1:8" ht="12.75">
      <c r="A340" s="16" t="s">
        <v>645</v>
      </c>
      <c r="B340" s="16">
        <f t="shared" si="13"/>
        <v>338</v>
      </c>
      <c r="C340" s="16" t="s">
        <v>598</v>
      </c>
      <c r="D340" s="17" t="s">
        <v>646</v>
      </c>
      <c r="E340" s="16">
        <v>21</v>
      </c>
      <c r="F340" s="16" t="s">
        <v>600</v>
      </c>
      <c r="G340" s="16">
        <v>307</v>
      </c>
      <c r="H340" s="1" t="s">
        <v>37</v>
      </c>
    </row>
    <row r="341" spans="1:8" ht="12.75">
      <c r="A341" s="14" t="s">
        <v>647</v>
      </c>
      <c r="B341" s="14">
        <f t="shared" si="13"/>
        <v>339</v>
      </c>
      <c r="C341" s="14" t="s">
        <v>598</v>
      </c>
      <c r="D341" s="15" t="s">
        <v>648</v>
      </c>
      <c r="E341" s="14">
        <v>31</v>
      </c>
      <c r="F341" s="14" t="s">
        <v>600</v>
      </c>
      <c r="G341" s="14">
        <v>1185</v>
      </c>
      <c r="H341" s="1" t="s">
        <v>45</v>
      </c>
    </row>
    <row r="342" spans="1:8" ht="12.75">
      <c r="A342" s="14" t="s">
        <v>649</v>
      </c>
      <c r="B342" s="14">
        <f t="shared" si="13"/>
        <v>340</v>
      </c>
      <c r="C342" s="14" t="s">
        <v>598</v>
      </c>
      <c r="D342" s="15" t="s">
        <v>650</v>
      </c>
      <c r="E342" s="14">
        <v>31</v>
      </c>
      <c r="F342" s="14" t="s">
        <v>600</v>
      </c>
      <c r="G342" s="14">
        <v>984</v>
      </c>
      <c r="H342" s="1" t="s">
        <v>45</v>
      </c>
    </row>
    <row r="343" spans="1:8" ht="12.75">
      <c r="A343" s="14" t="s">
        <v>651</v>
      </c>
      <c r="B343" s="14">
        <f t="shared" si="13"/>
        <v>341</v>
      </c>
      <c r="C343" s="14" t="s">
        <v>598</v>
      </c>
      <c r="D343" s="15" t="s">
        <v>652</v>
      </c>
      <c r="E343" s="14">
        <v>31</v>
      </c>
      <c r="F343" s="14" t="s">
        <v>600</v>
      </c>
      <c r="G343" s="14">
        <v>1282</v>
      </c>
      <c r="H343" s="1" t="s">
        <v>45</v>
      </c>
    </row>
    <row r="344" spans="1:8" ht="12.75">
      <c r="A344" s="14" t="s">
        <v>653</v>
      </c>
      <c r="B344" s="14">
        <f t="shared" si="13"/>
        <v>342</v>
      </c>
      <c r="C344" s="14" t="s">
        <v>598</v>
      </c>
      <c r="D344" s="15" t="s">
        <v>654</v>
      </c>
      <c r="E344" s="14">
        <v>31</v>
      </c>
      <c r="F344" s="14" t="s">
        <v>600</v>
      </c>
      <c r="G344" s="14">
        <v>1081</v>
      </c>
      <c r="H344" s="1" t="s">
        <v>45</v>
      </c>
    </row>
    <row r="345" spans="1:8" ht="12.75">
      <c r="A345" s="14" t="s">
        <v>655</v>
      </c>
      <c r="B345" s="14">
        <f t="shared" si="13"/>
        <v>343</v>
      </c>
      <c r="C345" s="14" t="s">
        <v>598</v>
      </c>
      <c r="D345" s="15" t="s">
        <v>656</v>
      </c>
      <c r="E345" s="14">
        <v>31</v>
      </c>
      <c r="F345" s="14" t="s">
        <v>600</v>
      </c>
      <c r="G345" s="14">
        <v>952</v>
      </c>
      <c r="H345" s="1" t="s">
        <v>45</v>
      </c>
    </row>
    <row r="346" spans="1:8" ht="12.75">
      <c r="A346" s="14" t="s">
        <v>657</v>
      </c>
      <c r="B346" s="14">
        <f t="shared" si="13"/>
        <v>344</v>
      </c>
      <c r="C346" s="14" t="s">
        <v>598</v>
      </c>
      <c r="D346" s="15" t="s">
        <v>658</v>
      </c>
      <c r="E346" s="14">
        <v>31</v>
      </c>
      <c r="F346" s="14" t="s">
        <v>600</v>
      </c>
      <c r="G346" s="14">
        <v>1010</v>
      </c>
      <c r="H346" s="1" t="s">
        <v>45</v>
      </c>
    </row>
    <row r="347" spans="1:8" ht="12.75">
      <c r="A347" s="14" t="s">
        <v>659</v>
      </c>
      <c r="B347" s="14">
        <f t="shared" si="13"/>
        <v>345</v>
      </c>
      <c r="C347" s="14" t="s">
        <v>598</v>
      </c>
      <c r="D347" s="15" t="s">
        <v>660</v>
      </c>
      <c r="E347" s="14">
        <v>31</v>
      </c>
      <c r="F347" s="14" t="s">
        <v>600</v>
      </c>
      <c r="G347" s="14">
        <v>1230</v>
      </c>
      <c r="H347" s="1" t="s">
        <v>45</v>
      </c>
    </row>
    <row r="348" spans="1:8" ht="12.75">
      <c r="A348" s="14" t="s">
        <v>661</v>
      </c>
      <c r="B348" s="14">
        <f t="shared" si="13"/>
        <v>346</v>
      </c>
      <c r="C348" s="14" t="s">
        <v>598</v>
      </c>
      <c r="D348" s="15" t="s">
        <v>662</v>
      </c>
      <c r="E348" s="14">
        <v>31</v>
      </c>
      <c r="F348" s="14" t="s">
        <v>600</v>
      </c>
      <c r="G348" s="14">
        <v>1241</v>
      </c>
      <c r="H348" s="1" t="s">
        <v>45</v>
      </c>
    </row>
    <row r="349" spans="1:8" ht="12.75">
      <c r="A349" s="14" t="s">
        <v>663</v>
      </c>
      <c r="B349" s="14">
        <f t="shared" si="13"/>
        <v>347</v>
      </c>
      <c r="C349" s="14" t="s">
        <v>598</v>
      </c>
      <c r="D349" s="15" t="s">
        <v>664</v>
      </c>
      <c r="E349" s="14">
        <v>31</v>
      </c>
      <c r="F349" s="14" t="s">
        <v>600</v>
      </c>
      <c r="G349" s="14">
        <v>1308</v>
      </c>
      <c r="H349" s="1" t="s">
        <v>45</v>
      </c>
    </row>
    <row r="350" spans="1:8" ht="12.75">
      <c r="A350" s="14" t="s">
        <v>665</v>
      </c>
      <c r="B350" s="14">
        <f t="shared" si="13"/>
        <v>348</v>
      </c>
      <c r="C350" s="14" t="s">
        <v>598</v>
      </c>
      <c r="D350" s="15" t="s">
        <v>666</v>
      </c>
      <c r="E350" s="14">
        <v>31</v>
      </c>
      <c r="F350" s="14" t="s">
        <v>600</v>
      </c>
      <c r="G350" s="14">
        <v>991</v>
      </c>
      <c r="H350" s="1" t="s">
        <v>45</v>
      </c>
    </row>
    <row r="351" spans="1:8" ht="12.75">
      <c r="A351" s="14" t="s">
        <v>667</v>
      </c>
      <c r="B351" s="14">
        <f t="shared" si="13"/>
        <v>349</v>
      </c>
      <c r="C351" s="14" t="s">
        <v>598</v>
      </c>
      <c r="D351" s="15" t="s">
        <v>668</v>
      </c>
      <c r="E351" s="14">
        <v>31</v>
      </c>
      <c r="F351" s="14" t="s">
        <v>600</v>
      </c>
      <c r="G351" s="14">
        <v>1071</v>
      </c>
      <c r="H351" s="1" t="s">
        <v>45</v>
      </c>
    </row>
    <row r="352" spans="1:8" ht="12.75">
      <c r="A352" s="14" t="s">
        <v>669</v>
      </c>
      <c r="B352" s="14">
        <f t="shared" si="13"/>
        <v>350</v>
      </c>
      <c r="C352" s="14" t="s">
        <v>598</v>
      </c>
      <c r="D352" s="15" t="s">
        <v>670</v>
      </c>
      <c r="E352" s="14">
        <v>31</v>
      </c>
      <c r="F352" s="14" t="s">
        <v>600</v>
      </c>
      <c r="G352" s="14">
        <v>1265</v>
      </c>
      <c r="H352" s="1" t="s">
        <v>45</v>
      </c>
    </row>
    <row r="353" spans="1:8" ht="12.75">
      <c r="A353" s="16" t="s">
        <v>671</v>
      </c>
      <c r="B353" s="16">
        <f t="shared" si="13"/>
        <v>351</v>
      </c>
      <c r="C353" s="16" t="s">
        <v>598</v>
      </c>
      <c r="D353" s="17" t="s">
        <v>672</v>
      </c>
      <c r="E353" s="16">
        <v>1</v>
      </c>
      <c r="F353" s="16" t="s">
        <v>600</v>
      </c>
      <c r="G353" s="16">
        <v>19</v>
      </c>
      <c r="H353" s="1" t="s">
        <v>12</v>
      </c>
    </row>
    <row r="354" spans="1:8" ht="12.75">
      <c r="A354" s="16" t="s">
        <v>673</v>
      </c>
      <c r="B354" s="16">
        <f t="shared" si="13"/>
        <v>352</v>
      </c>
      <c r="C354" s="16" t="s">
        <v>598</v>
      </c>
      <c r="D354" s="17" t="s">
        <v>672</v>
      </c>
      <c r="E354" s="16">
        <v>1</v>
      </c>
      <c r="F354" s="16" t="s">
        <v>600</v>
      </c>
      <c r="G354" s="16">
        <v>18</v>
      </c>
      <c r="H354" s="1" t="s">
        <v>12</v>
      </c>
    </row>
    <row r="355" spans="1:8" ht="12.75">
      <c r="A355" s="16" t="s">
        <v>674</v>
      </c>
      <c r="B355" s="16">
        <f t="shared" si="13"/>
        <v>353</v>
      </c>
      <c r="C355" s="16" t="s">
        <v>598</v>
      </c>
      <c r="D355" s="17" t="s">
        <v>675</v>
      </c>
      <c r="E355" s="16">
        <v>1</v>
      </c>
      <c r="F355" s="16" t="s">
        <v>600</v>
      </c>
      <c r="G355" s="16">
        <v>18</v>
      </c>
      <c r="H355" s="1" t="s">
        <v>12</v>
      </c>
    </row>
    <row r="356" spans="1:8" ht="12.75">
      <c r="A356" s="16" t="s">
        <v>676</v>
      </c>
      <c r="B356" s="16">
        <f t="shared" si="13"/>
        <v>354</v>
      </c>
      <c r="C356" s="16" t="s">
        <v>598</v>
      </c>
      <c r="D356" s="17" t="s">
        <v>677</v>
      </c>
      <c r="E356" s="16">
        <v>1</v>
      </c>
      <c r="F356" s="16" t="s">
        <v>600</v>
      </c>
      <c r="G356" s="16">
        <v>15</v>
      </c>
      <c r="H356" s="1" t="s">
        <v>12</v>
      </c>
    </row>
    <row r="357" spans="1:8" ht="12.75">
      <c r="A357" s="16" t="s">
        <v>678</v>
      </c>
      <c r="B357" s="16">
        <f t="shared" si="13"/>
        <v>355</v>
      </c>
      <c r="C357" s="16" t="s">
        <v>598</v>
      </c>
      <c r="D357" s="17" t="s">
        <v>679</v>
      </c>
      <c r="E357" s="16">
        <v>1</v>
      </c>
      <c r="F357" s="16" t="s">
        <v>600</v>
      </c>
      <c r="G357" s="16">
        <v>14</v>
      </c>
      <c r="H357" s="1" t="s">
        <v>12</v>
      </c>
    </row>
    <row r="358" spans="1:8" ht="12.75">
      <c r="A358" s="17" t="s">
        <v>680</v>
      </c>
      <c r="B358" s="16">
        <f t="shared" si="13"/>
        <v>356</v>
      </c>
      <c r="C358" s="16" t="s">
        <v>598</v>
      </c>
      <c r="D358" s="17" t="s">
        <v>679</v>
      </c>
      <c r="E358" s="16">
        <v>1</v>
      </c>
      <c r="F358" s="16" t="s">
        <v>600</v>
      </c>
      <c r="G358" s="16">
        <v>16</v>
      </c>
      <c r="H358" s="1" t="s">
        <v>12</v>
      </c>
    </row>
    <row r="359" spans="1:8" ht="12.75">
      <c r="A359" s="17" t="s">
        <v>681</v>
      </c>
      <c r="B359" s="16">
        <f t="shared" si="13"/>
        <v>357</v>
      </c>
      <c r="C359" s="16" t="s">
        <v>598</v>
      </c>
      <c r="D359" s="17" t="s">
        <v>682</v>
      </c>
      <c r="E359" s="16">
        <v>1</v>
      </c>
      <c r="F359" s="16" t="s">
        <v>600</v>
      </c>
      <c r="G359" s="16">
        <v>14</v>
      </c>
      <c r="H359" s="1" t="s">
        <v>12</v>
      </c>
    </row>
    <row r="360" spans="1:8" ht="12.75">
      <c r="A360" s="17" t="s">
        <v>683</v>
      </c>
      <c r="B360" s="16">
        <f t="shared" si="13"/>
        <v>358</v>
      </c>
      <c r="C360" s="16" t="s">
        <v>598</v>
      </c>
      <c r="D360" s="17" t="s">
        <v>684</v>
      </c>
      <c r="E360" s="16">
        <v>1</v>
      </c>
      <c r="F360" s="16" t="s">
        <v>600</v>
      </c>
      <c r="G360" s="16">
        <v>16</v>
      </c>
      <c r="H360" s="1" t="s">
        <v>12</v>
      </c>
    </row>
    <row r="361" spans="1:8" ht="12.75">
      <c r="A361" s="17" t="s">
        <v>685</v>
      </c>
      <c r="B361" s="16">
        <f t="shared" si="13"/>
        <v>359</v>
      </c>
      <c r="C361" s="16" t="s">
        <v>598</v>
      </c>
      <c r="D361" s="17" t="s">
        <v>686</v>
      </c>
      <c r="E361" s="16">
        <v>1</v>
      </c>
      <c r="F361" s="16" t="s">
        <v>600</v>
      </c>
      <c r="G361" s="16">
        <v>13</v>
      </c>
      <c r="H361" s="1" t="s">
        <v>12</v>
      </c>
    </row>
    <row r="362" spans="1:8" ht="12.75">
      <c r="A362" s="16" t="s">
        <v>687</v>
      </c>
      <c r="B362" s="16">
        <f t="shared" si="13"/>
        <v>360</v>
      </c>
      <c r="C362" s="16" t="s">
        <v>598</v>
      </c>
      <c r="D362" s="17" t="s">
        <v>686</v>
      </c>
      <c r="E362" s="16">
        <v>1</v>
      </c>
      <c r="F362" s="16" t="s">
        <v>600</v>
      </c>
      <c r="G362" s="16">
        <v>14</v>
      </c>
      <c r="H362" s="1" t="s">
        <v>12</v>
      </c>
    </row>
    <row r="363" spans="1:8" ht="12.75">
      <c r="A363" s="17" t="s">
        <v>688</v>
      </c>
      <c r="B363" s="16">
        <f t="shared" si="13"/>
        <v>361</v>
      </c>
      <c r="C363" s="16" t="s">
        <v>598</v>
      </c>
      <c r="D363" s="17" t="s">
        <v>689</v>
      </c>
      <c r="E363" s="16">
        <v>1</v>
      </c>
      <c r="F363" s="16" t="s">
        <v>600</v>
      </c>
      <c r="G363" s="16">
        <v>17</v>
      </c>
      <c r="H363" s="1" t="s">
        <v>12</v>
      </c>
    </row>
    <row r="364" spans="1:8" ht="12.75">
      <c r="A364" s="17" t="s">
        <v>690</v>
      </c>
      <c r="B364" s="16">
        <f t="shared" si="13"/>
        <v>362</v>
      </c>
      <c r="C364" s="16" t="s">
        <v>598</v>
      </c>
      <c r="D364" s="17" t="s">
        <v>689</v>
      </c>
      <c r="E364" s="16">
        <v>1</v>
      </c>
      <c r="F364" s="16" t="s">
        <v>600</v>
      </c>
      <c r="G364" s="16">
        <v>15</v>
      </c>
      <c r="H364" s="1" t="s">
        <v>12</v>
      </c>
    </row>
    <row r="365" spans="1:8" ht="12.75">
      <c r="A365" s="14" t="s">
        <v>691</v>
      </c>
      <c r="B365" s="14">
        <f t="shared" si="13"/>
        <v>363</v>
      </c>
      <c r="C365" s="14" t="s">
        <v>598</v>
      </c>
      <c r="D365" s="15" t="s">
        <v>672</v>
      </c>
      <c r="E365" s="14">
        <v>21</v>
      </c>
      <c r="F365" s="14" t="s">
        <v>600</v>
      </c>
      <c r="G365" s="15">
        <v>215</v>
      </c>
      <c r="H365" s="1" t="s">
        <v>21</v>
      </c>
    </row>
    <row r="366" spans="1:8" ht="12.75">
      <c r="A366" s="14" t="s">
        <v>692</v>
      </c>
      <c r="B366" s="14">
        <f t="shared" si="13"/>
        <v>364</v>
      </c>
      <c r="C366" s="14" t="s">
        <v>598</v>
      </c>
      <c r="D366" s="15" t="s">
        <v>672</v>
      </c>
      <c r="E366" s="14">
        <v>21</v>
      </c>
      <c r="F366" s="14" t="s">
        <v>600</v>
      </c>
      <c r="G366" s="15">
        <v>250</v>
      </c>
      <c r="H366" s="1" t="s">
        <v>21</v>
      </c>
    </row>
    <row r="367" spans="1:8" ht="12.75">
      <c r="A367" s="14" t="s">
        <v>693</v>
      </c>
      <c r="B367" s="14">
        <f t="shared" si="13"/>
        <v>365</v>
      </c>
      <c r="C367" s="14" t="s">
        <v>598</v>
      </c>
      <c r="D367" s="15" t="s">
        <v>675</v>
      </c>
      <c r="E367" s="14">
        <v>21</v>
      </c>
      <c r="F367" s="14" t="s">
        <v>600</v>
      </c>
      <c r="G367" s="15">
        <v>234</v>
      </c>
      <c r="H367" s="1" t="s">
        <v>21</v>
      </c>
    </row>
    <row r="368" spans="1:8" ht="12.75">
      <c r="A368" s="14" t="s">
        <v>694</v>
      </c>
      <c r="B368" s="14">
        <f t="shared" si="13"/>
        <v>366</v>
      </c>
      <c r="C368" s="14" t="s">
        <v>598</v>
      </c>
      <c r="D368" s="15" t="s">
        <v>677</v>
      </c>
      <c r="E368" s="14">
        <v>21</v>
      </c>
      <c r="F368" s="14" t="s">
        <v>600</v>
      </c>
      <c r="G368" s="15">
        <v>254</v>
      </c>
      <c r="H368" s="1" t="s">
        <v>21</v>
      </c>
    </row>
    <row r="369" spans="1:8" ht="12.75">
      <c r="A369" s="18" t="s">
        <v>695</v>
      </c>
      <c r="B369" s="14">
        <f t="shared" si="13"/>
        <v>367</v>
      </c>
      <c r="C369" s="14" t="s">
        <v>598</v>
      </c>
      <c r="D369" s="15" t="s">
        <v>679</v>
      </c>
      <c r="E369" s="14">
        <v>21</v>
      </c>
      <c r="F369" s="14" t="s">
        <v>600</v>
      </c>
      <c r="G369" s="15">
        <v>287</v>
      </c>
      <c r="H369" s="1" t="s">
        <v>21</v>
      </c>
    </row>
    <row r="370" spans="1:8" ht="12.75">
      <c r="A370" s="14" t="s">
        <v>696</v>
      </c>
      <c r="B370" s="14">
        <f t="shared" si="13"/>
        <v>368</v>
      </c>
      <c r="C370" s="14" t="s">
        <v>598</v>
      </c>
      <c r="D370" s="15" t="s">
        <v>679</v>
      </c>
      <c r="E370" s="14">
        <v>21</v>
      </c>
      <c r="F370" s="14" t="s">
        <v>600</v>
      </c>
      <c r="G370" s="15">
        <v>243</v>
      </c>
      <c r="H370" s="1" t="s">
        <v>21</v>
      </c>
    </row>
    <row r="371" spans="1:8" ht="12.75">
      <c r="A371" s="14" t="s">
        <v>697</v>
      </c>
      <c r="B371" s="14">
        <f t="shared" si="13"/>
        <v>369</v>
      </c>
      <c r="C371" s="14" t="s">
        <v>598</v>
      </c>
      <c r="D371" s="15" t="s">
        <v>682</v>
      </c>
      <c r="E371" s="14">
        <v>21</v>
      </c>
      <c r="F371" s="14" t="s">
        <v>600</v>
      </c>
      <c r="G371" s="15">
        <v>219</v>
      </c>
      <c r="H371" s="1" t="s">
        <v>21</v>
      </c>
    </row>
    <row r="372" spans="1:8" ht="12.75">
      <c r="A372" s="14" t="s">
        <v>698</v>
      </c>
      <c r="B372" s="14">
        <f t="shared" si="13"/>
        <v>370</v>
      </c>
      <c r="C372" s="14" t="s">
        <v>598</v>
      </c>
      <c r="D372" s="15" t="s">
        <v>684</v>
      </c>
      <c r="E372" s="14">
        <v>21</v>
      </c>
      <c r="F372" s="14" t="s">
        <v>600</v>
      </c>
      <c r="G372" s="15">
        <v>281</v>
      </c>
      <c r="H372" s="1" t="s">
        <v>21</v>
      </c>
    </row>
    <row r="373" spans="1:8" ht="12.75">
      <c r="A373" s="14" t="s">
        <v>699</v>
      </c>
      <c r="B373" s="14">
        <f t="shared" si="13"/>
        <v>371</v>
      </c>
      <c r="C373" s="14" t="s">
        <v>598</v>
      </c>
      <c r="D373" s="15" t="s">
        <v>686</v>
      </c>
      <c r="E373" s="14">
        <v>21</v>
      </c>
      <c r="F373" s="14" t="s">
        <v>600</v>
      </c>
      <c r="G373" s="15">
        <v>269</v>
      </c>
      <c r="H373" s="1" t="s">
        <v>21</v>
      </c>
    </row>
    <row r="374" spans="1:8" ht="12.75">
      <c r="A374" s="15" t="s">
        <v>700</v>
      </c>
      <c r="B374" s="14">
        <f t="shared" si="13"/>
        <v>372</v>
      </c>
      <c r="C374" s="14" t="s">
        <v>598</v>
      </c>
      <c r="D374" s="15" t="s">
        <v>686</v>
      </c>
      <c r="E374" s="14">
        <v>21</v>
      </c>
      <c r="F374" s="14" t="s">
        <v>600</v>
      </c>
      <c r="G374" s="15">
        <v>233</v>
      </c>
      <c r="H374" s="1" t="s">
        <v>21</v>
      </c>
    </row>
    <row r="375" spans="1:8" ht="12.75">
      <c r="A375" s="14" t="s">
        <v>701</v>
      </c>
      <c r="B375" s="14">
        <f t="shared" si="13"/>
        <v>373</v>
      </c>
      <c r="C375" s="14" t="s">
        <v>598</v>
      </c>
      <c r="D375" s="15" t="s">
        <v>689</v>
      </c>
      <c r="E375" s="14">
        <v>21</v>
      </c>
      <c r="F375" s="14" t="s">
        <v>600</v>
      </c>
      <c r="G375" s="15">
        <v>208</v>
      </c>
      <c r="H375" s="1" t="s">
        <v>21</v>
      </c>
    </row>
    <row r="376" spans="1:8" ht="12.75">
      <c r="A376" s="14" t="s">
        <v>702</v>
      </c>
      <c r="B376" s="14">
        <f t="shared" si="13"/>
        <v>374</v>
      </c>
      <c r="C376" s="14" t="s">
        <v>598</v>
      </c>
      <c r="D376" s="15" t="s">
        <v>689</v>
      </c>
      <c r="E376" s="14">
        <v>21</v>
      </c>
      <c r="F376" s="14" t="s">
        <v>600</v>
      </c>
      <c r="G376" s="15">
        <v>289</v>
      </c>
      <c r="H376" s="1" t="s">
        <v>21</v>
      </c>
    </row>
    <row r="377" spans="1:8" ht="12.75">
      <c r="A377" s="17" t="s">
        <v>703</v>
      </c>
      <c r="B377" s="16">
        <f t="shared" si="13"/>
        <v>375</v>
      </c>
      <c r="C377" s="16" t="s">
        <v>598</v>
      </c>
      <c r="D377" s="17" t="s">
        <v>672</v>
      </c>
      <c r="E377" s="16">
        <v>41</v>
      </c>
      <c r="F377" s="16" t="s">
        <v>600</v>
      </c>
      <c r="G377" s="17">
        <v>3834</v>
      </c>
      <c r="H377" s="1" t="s">
        <v>30</v>
      </c>
    </row>
    <row r="378" spans="1:8" ht="12.75">
      <c r="A378" s="17" t="s">
        <v>704</v>
      </c>
      <c r="B378" s="16">
        <f t="shared" si="13"/>
        <v>376</v>
      </c>
      <c r="C378" s="16" t="s">
        <v>598</v>
      </c>
      <c r="D378" s="17" t="s">
        <v>672</v>
      </c>
      <c r="E378" s="16">
        <v>41</v>
      </c>
      <c r="F378" s="16" t="s">
        <v>600</v>
      </c>
      <c r="G378" s="17">
        <v>4104</v>
      </c>
      <c r="H378" s="1" t="s">
        <v>30</v>
      </c>
    </row>
    <row r="379" spans="1:8" ht="12.75">
      <c r="A379" s="17" t="s">
        <v>705</v>
      </c>
      <c r="B379" s="16">
        <f t="shared" si="13"/>
        <v>377</v>
      </c>
      <c r="C379" s="16" t="s">
        <v>598</v>
      </c>
      <c r="D379" s="17" t="s">
        <v>675</v>
      </c>
      <c r="E379" s="16">
        <v>41</v>
      </c>
      <c r="F379" s="16" t="s">
        <v>600</v>
      </c>
      <c r="G379" s="17">
        <v>3444</v>
      </c>
      <c r="H379" s="1" t="s">
        <v>30</v>
      </c>
    </row>
    <row r="380" spans="1:8" ht="12.75">
      <c r="A380" s="17" t="s">
        <v>706</v>
      </c>
      <c r="B380" s="16">
        <f t="shared" si="13"/>
        <v>378</v>
      </c>
      <c r="C380" s="16" t="s">
        <v>598</v>
      </c>
      <c r="D380" s="17" t="s">
        <v>677</v>
      </c>
      <c r="E380" s="16">
        <v>41</v>
      </c>
      <c r="F380" s="16" t="s">
        <v>600</v>
      </c>
      <c r="G380" s="17">
        <v>3461</v>
      </c>
      <c r="H380" s="1" t="s">
        <v>30</v>
      </c>
    </row>
    <row r="381" spans="1:8" ht="12.75">
      <c r="A381" s="16" t="s">
        <v>707</v>
      </c>
      <c r="B381" s="16">
        <f t="shared" si="13"/>
        <v>379</v>
      </c>
      <c r="C381" s="16" t="s">
        <v>598</v>
      </c>
      <c r="D381" s="17" t="s">
        <v>679</v>
      </c>
      <c r="E381" s="16">
        <v>41</v>
      </c>
      <c r="F381" s="16" t="s">
        <v>600</v>
      </c>
      <c r="G381" s="17">
        <v>3521</v>
      </c>
      <c r="H381" s="1" t="s">
        <v>30</v>
      </c>
    </row>
    <row r="382" spans="1:8" ht="12.75">
      <c r="A382" s="17" t="s">
        <v>708</v>
      </c>
      <c r="B382" s="16">
        <f t="shared" si="13"/>
        <v>380</v>
      </c>
      <c r="C382" s="16" t="s">
        <v>598</v>
      </c>
      <c r="D382" s="17" t="s">
        <v>679</v>
      </c>
      <c r="E382" s="16">
        <v>41</v>
      </c>
      <c r="F382" s="16" t="s">
        <v>600</v>
      </c>
      <c r="G382" s="17">
        <v>4808</v>
      </c>
      <c r="H382" s="1" t="s">
        <v>30</v>
      </c>
    </row>
    <row r="383" spans="1:8" ht="12.75">
      <c r="A383" s="17" t="s">
        <v>709</v>
      </c>
      <c r="B383" s="16">
        <f t="shared" si="13"/>
        <v>381</v>
      </c>
      <c r="C383" s="16" t="s">
        <v>598</v>
      </c>
      <c r="D383" s="17" t="s">
        <v>682</v>
      </c>
      <c r="E383" s="16">
        <v>41</v>
      </c>
      <c r="F383" s="16" t="s">
        <v>600</v>
      </c>
      <c r="G383" s="17">
        <v>4608</v>
      </c>
      <c r="H383" s="1" t="s">
        <v>30</v>
      </c>
    </row>
    <row r="384" spans="1:8" ht="12.75">
      <c r="A384" s="17" t="s">
        <v>710</v>
      </c>
      <c r="B384" s="16">
        <f t="shared" si="13"/>
        <v>382</v>
      </c>
      <c r="C384" s="16" t="s">
        <v>598</v>
      </c>
      <c r="D384" s="17" t="s">
        <v>684</v>
      </c>
      <c r="E384" s="16">
        <v>41</v>
      </c>
      <c r="F384" s="16" t="s">
        <v>600</v>
      </c>
      <c r="G384" s="17">
        <v>4116</v>
      </c>
      <c r="H384" s="1" t="s">
        <v>30</v>
      </c>
    </row>
    <row r="385" spans="1:8" ht="12.75">
      <c r="A385" s="17" t="s">
        <v>711</v>
      </c>
      <c r="B385" s="16">
        <f t="shared" si="13"/>
        <v>383</v>
      </c>
      <c r="C385" s="16" t="s">
        <v>598</v>
      </c>
      <c r="D385" s="17" t="s">
        <v>686</v>
      </c>
      <c r="E385" s="16">
        <v>41</v>
      </c>
      <c r="F385" s="16" t="s">
        <v>600</v>
      </c>
      <c r="G385" s="17">
        <v>3322</v>
      </c>
      <c r="H385" s="1" t="s">
        <v>30</v>
      </c>
    </row>
    <row r="386" spans="1:8" ht="12.75">
      <c r="A386" s="17" t="s">
        <v>712</v>
      </c>
      <c r="B386" s="16">
        <f t="shared" si="13"/>
        <v>384</v>
      </c>
      <c r="C386" s="16" t="s">
        <v>598</v>
      </c>
      <c r="D386" s="17" t="s">
        <v>686</v>
      </c>
      <c r="E386" s="16">
        <v>41</v>
      </c>
      <c r="F386" s="16" t="s">
        <v>600</v>
      </c>
      <c r="G386" s="17">
        <v>3902</v>
      </c>
      <c r="H386" s="1" t="s">
        <v>30</v>
      </c>
    </row>
    <row r="387" spans="1:8" ht="12.75">
      <c r="A387" s="17" t="s">
        <v>713</v>
      </c>
      <c r="B387" s="16">
        <f t="shared" si="13"/>
        <v>385</v>
      </c>
      <c r="C387" s="16" t="s">
        <v>598</v>
      </c>
      <c r="D387" s="17" t="s">
        <v>689</v>
      </c>
      <c r="E387" s="16">
        <v>41</v>
      </c>
      <c r="F387" s="16" t="s">
        <v>600</v>
      </c>
      <c r="G387" s="17">
        <v>3469</v>
      </c>
      <c r="H387" s="1" t="s">
        <v>30</v>
      </c>
    </row>
    <row r="388" spans="1:8" ht="12.75">
      <c r="A388" s="17" t="s">
        <v>714</v>
      </c>
      <c r="B388" s="16">
        <f t="shared" si="13"/>
        <v>386</v>
      </c>
      <c r="C388" s="16" t="s">
        <v>598</v>
      </c>
      <c r="D388" s="17" t="s">
        <v>689</v>
      </c>
      <c r="E388" s="16">
        <v>41</v>
      </c>
      <c r="F388" s="16" t="s">
        <v>600</v>
      </c>
      <c r="G388" s="17">
        <v>4040</v>
      </c>
      <c r="H388" s="1" t="s">
        <v>30</v>
      </c>
    </row>
    <row r="389" spans="1:8" ht="12.75">
      <c r="A389" s="14" t="s">
        <v>715</v>
      </c>
      <c r="B389" s="14">
        <f t="shared" si="13"/>
        <v>387</v>
      </c>
      <c r="C389" s="14" t="s">
        <v>716</v>
      </c>
      <c r="D389" s="19" t="s">
        <v>717</v>
      </c>
      <c r="E389" s="20">
        <v>1</v>
      </c>
      <c r="F389" s="14" t="s">
        <v>600</v>
      </c>
      <c r="G389" s="14">
        <f>G473+G354+G358+G361</f>
        <v>93</v>
      </c>
      <c r="H389" s="21" t="s">
        <v>12</v>
      </c>
    </row>
    <row r="390" spans="1:8" ht="12.75">
      <c r="A390" s="14" t="s">
        <v>718</v>
      </c>
      <c r="B390" s="14">
        <f t="shared" si="13"/>
        <v>388</v>
      </c>
      <c r="C390" s="14" t="s">
        <v>716</v>
      </c>
      <c r="D390" s="15" t="s">
        <v>719</v>
      </c>
      <c r="E390" s="20">
        <v>1</v>
      </c>
      <c r="F390" s="14" t="s">
        <v>600</v>
      </c>
      <c r="G390" s="14">
        <f>G473+G353+G355+G363</f>
        <v>100</v>
      </c>
      <c r="H390" s="21" t="s">
        <v>12</v>
      </c>
    </row>
    <row r="391" spans="1:8" ht="12.75">
      <c r="A391" s="14" t="s">
        <v>720</v>
      </c>
      <c r="B391" s="14">
        <f t="shared" si="13"/>
        <v>389</v>
      </c>
      <c r="C391" s="14" t="s">
        <v>716</v>
      </c>
      <c r="D391" s="19" t="s">
        <v>721</v>
      </c>
      <c r="E391" s="20">
        <v>1</v>
      </c>
      <c r="F391" s="14" t="s">
        <v>600</v>
      </c>
      <c r="G391" s="14">
        <f>G473+G359+G364+G357</f>
        <v>89</v>
      </c>
      <c r="H391" s="21" t="s">
        <v>12</v>
      </c>
    </row>
    <row r="392" spans="1:8" ht="12.75">
      <c r="A392" s="14" t="s">
        <v>722</v>
      </c>
      <c r="B392" s="14">
        <f t="shared" si="13"/>
        <v>390</v>
      </c>
      <c r="C392" s="14" t="s">
        <v>716</v>
      </c>
      <c r="D392" s="19" t="s">
        <v>723</v>
      </c>
      <c r="E392" s="20">
        <v>1</v>
      </c>
      <c r="F392" s="14" t="s">
        <v>600</v>
      </c>
      <c r="G392" s="14">
        <f>G473+G360+G362+G356</f>
        <v>91</v>
      </c>
      <c r="H392" s="21" t="s">
        <v>12</v>
      </c>
    </row>
    <row r="393" spans="1:8" ht="12.75">
      <c r="A393" s="16" t="s">
        <v>724</v>
      </c>
      <c r="B393" s="16">
        <f t="shared" si="13"/>
        <v>391</v>
      </c>
      <c r="C393" s="16" t="s">
        <v>716</v>
      </c>
      <c r="D393" s="17" t="s">
        <v>725</v>
      </c>
      <c r="E393" s="16">
        <v>11</v>
      </c>
      <c r="F393" s="16" t="s">
        <v>600</v>
      </c>
      <c r="G393" s="16">
        <f>2*G474+G354+G362+G364</f>
        <v>363</v>
      </c>
      <c r="H393" s="21" t="s">
        <v>37</v>
      </c>
    </row>
    <row r="394" spans="1:8" ht="12.75">
      <c r="A394" s="16" t="s">
        <v>726</v>
      </c>
      <c r="B394" s="16">
        <f t="shared" si="13"/>
        <v>392</v>
      </c>
      <c r="C394" s="16" t="s">
        <v>716</v>
      </c>
      <c r="D394" s="17" t="s">
        <v>727</v>
      </c>
      <c r="E394" s="16">
        <v>11</v>
      </c>
      <c r="F394" s="16" t="s">
        <v>600</v>
      </c>
      <c r="G394" s="16">
        <f>2*G474+G357+G355+G356</f>
        <v>363</v>
      </c>
      <c r="H394" s="21" t="s">
        <v>37</v>
      </c>
    </row>
    <row r="395" spans="1:8" ht="12.75">
      <c r="A395" s="16" t="s">
        <v>728</v>
      </c>
      <c r="B395" s="16">
        <f t="shared" si="13"/>
        <v>393</v>
      </c>
      <c r="C395" s="16" t="s">
        <v>716</v>
      </c>
      <c r="D395" s="17" t="s">
        <v>729</v>
      </c>
      <c r="E395" s="16">
        <v>11</v>
      </c>
      <c r="F395" s="16" t="s">
        <v>600</v>
      </c>
      <c r="G395" s="16">
        <f>2*G474+G358+G360+G361</f>
        <v>361</v>
      </c>
      <c r="H395" s="21" t="s">
        <v>37</v>
      </c>
    </row>
    <row r="396" spans="1:8" ht="12.75">
      <c r="A396" s="16" t="s">
        <v>730</v>
      </c>
      <c r="B396" s="16">
        <f t="shared" si="13"/>
        <v>394</v>
      </c>
      <c r="C396" s="16" t="s">
        <v>716</v>
      </c>
      <c r="D396" s="17" t="s">
        <v>731</v>
      </c>
      <c r="E396" s="16">
        <v>11</v>
      </c>
      <c r="F396" s="16" t="s">
        <v>600</v>
      </c>
      <c r="G396" s="16">
        <f>2*G474+G363+G355+G353</f>
        <v>370</v>
      </c>
      <c r="H396" s="21" t="s">
        <v>37</v>
      </c>
    </row>
    <row r="397" spans="1:8" ht="12.75">
      <c r="A397" s="15" t="s">
        <v>732</v>
      </c>
      <c r="B397" s="14">
        <f t="shared" si="13"/>
        <v>395</v>
      </c>
      <c r="C397" s="14" t="s">
        <v>716</v>
      </c>
      <c r="D397" s="15" t="s">
        <v>733</v>
      </c>
      <c r="E397" s="15">
        <v>21</v>
      </c>
      <c r="F397" s="14" t="s">
        <v>600</v>
      </c>
      <c r="G397" s="15">
        <f>G475+G370+G371+G374</f>
        <v>1402</v>
      </c>
      <c r="H397" s="1" t="s">
        <v>21</v>
      </c>
    </row>
    <row r="398" spans="1:8" ht="12.75">
      <c r="A398" s="15" t="s">
        <v>734</v>
      </c>
      <c r="B398" s="14">
        <f t="shared" si="13"/>
        <v>396</v>
      </c>
      <c r="C398" s="14" t="s">
        <v>716</v>
      </c>
      <c r="D398" s="15" t="s">
        <v>735</v>
      </c>
      <c r="E398" s="15">
        <v>21</v>
      </c>
      <c r="F398" s="14" t="s">
        <v>600</v>
      </c>
      <c r="G398" s="15">
        <f>G475+G367+G368+G376</f>
        <v>1484</v>
      </c>
      <c r="H398" s="1" t="s">
        <v>21</v>
      </c>
    </row>
    <row r="399" spans="1:8" ht="12.75">
      <c r="A399" s="15" t="s">
        <v>736</v>
      </c>
      <c r="B399" s="14">
        <f t="shared" si="13"/>
        <v>397</v>
      </c>
      <c r="C399" s="14" t="s">
        <v>716</v>
      </c>
      <c r="D399" s="15" t="s">
        <v>737</v>
      </c>
      <c r="E399" s="15">
        <v>21</v>
      </c>
      <c r="F399" s="14" t="s">
        <v>600</v>
      </c>
      <c r="G399" s="15">
        <f>G475+G365+G373+G372</f>
        <v>1472</v>
      </c>
      <c r="H399" s="1" t="s">
        <v>21</v>
      </c>
    </row>
    <row r="400" spans="1:8" ht="12.75">
      <c r="A400" s="15" t="s">
        <v>738</v>
      </c>
      <c r="B400" s="14">
        <f t="shared" si="13"/>
        <v>398</v>
      </c>
      <c r="C400" s="14" t="s">
        <v>716</v>
      </c>
      <c r="D400" s="15" t="s">
        <v>739</v>
      </c>
      <c r="E400" s="15">
        <v>21</v>
      </c>
      <c r="F400" s="14" t="s">
        <v>600</v>
      </c>
      <c r="G400" s="15">
        <f>G475+G369+G375+G372</f>
        <v>1483</v>
      </c>
      <c r="H400" s="1" t="s">
        <v>21</v>
      </c>
    </row>
    <row r="401" spans="1:8" ht="12.75">
      <c r="A401" s="17" t="s">
        <v>740</v>
      </c>
      <c r="B401" s="16">
        <f t="shared" si="13"/>
        <v>399</v>
      </c>
      <c r="C401" s="16" t="s">
        <v>716</v>
      </c>
      <c r="D401" s="17" t="s">
        <v>741</v>
      </c>
      <c r="E401" s="17">
        <v>31</v>
      </c>
      <c r="F401" s="16" t="s">
        <v>600</v>
      </c>
      <c r="G401" s="17">
        <f>2*G476+G366+G375+G370</f>
        <v>6177</v>
      </c>
      <c r="H401" s="1" t="s">
        <v>45</v>
      </c>
    </row>
    <row r="402" spans="1:8" ht="12.75">
      <c r="A402" s="17" t="s">
        <v>742</v>
      </c>
      <c r="B402" s="16">
        <f t="shared" si="13"/>
        <v>400</v>
      </c>
      <c r="C402" s="16" t="s">
        <v>716</v>
      </c>
      <c r="D402" s="17" t="s">
        <v>743</v>
      </c>
      <c r="E402" s="17">
        <v>31</v>
      </c>
      <c r="F402" s="16" t="s">
        <v>600</v>
      </c>
      <c r="G402" s="17">
        <f>2*G476+G374+G369+G367</f>
        <v>6230</v>
      </c>
      <c r="H402" s="1" t="s">
        <v>45</v>
      </c>
    </row>
    <row r="403" spans="1:8" ht="12.75">
      <c r="A403" s="17" t="s">
        <v>744</v>
      </c>
      <c r="B403" s="16">
        <f t="shared" si="13"/>
        <v>401</v>
      </c>
      <c r="C403" s="16" t="s">
        <v>716</v>
      </c>
      <c r="D403" s="17" t="s">
        <v>745</v>
      </c>
      <c r="E403" s="17">
        <v>31</v>
      </c>
      <c r="F403" s="16" t="s">
        <v>600</v>
      </c>
      <c r="G403" s="17">
        <f>2*G476+G365+G376+G373</f>
        <v>6249</v>
      </c>
      <c r="H403" s="1" t="s">
        <v>45</v>
      </c>
    </row>
    <row r="404" spans="1:8" ht="12.75">
      <c r="A404" s="17" t="s">
        <v>746</v>
      </c>
      <c r="B404" s="16">
        <f t="shared" si="13"/>
        <v>402</v>
      </c>
      <c r="C404" s="16" t="s">
        <v>716</v>
      </c>
      <c r="D404" s="17" t="s">
        <v>747</v>
      </c>
      <c r="E404" s="17">
        <v>31</v>
      </c>
      <c r="F404" s="16" t="s">
        <v>600</v>
      </c>
      <c r="G404" s="17">
        <f>2*G476+G368+G372+G371</f>
        <v>6230</v>
      </c>
      <c r="H404" s="1" t="s">
        <v>45</v>
      </c>
    </row>
    <row r="405" spans="1:8" ht="12.75">
      <c r="A405" s="15" t="s">
        <v>748</v>
      </c>
      <c r="B405" s="14">
        <f t="shared" si="13"/>
        <v>403</v>
      </c>
      <c r="C405" s="14" t="s">
        <v>716</v>
      </c>
      <c r="D405" s="15" t="s">
        <v>749</v>
      </c>
      <c r="E405" s="15">
        <v>41</v>
      </c>
      <c r="F405" s="14" t="s">
        <v>600</v>
      </c>
      <c r="G405" s="15">
        <f>G477+G380+G388+G377</f>
        <v>24995</v>
      </c>
      <c r="H405" s="22" t="s">
        <v>30</v>
      </c>
    </row>
    <row r="406" spans="1:8" ht="12.75">
      <c r="A406" s="15" t="s">
        <v>750</v>
      </c>
      <c r="B406" s="14">
        <f t="shared" si="13"/>
        <v>404</v>
      </c>
      <c r="C406" s="14" t="s">
        <v>716</v>
      </c>
      <c r="D406" s="15" t="s">
        <v>751</v>
      </c>
      <c r="E406" s="15">
        <v>41</v>
      </c>
      <c r="F406" s="14" t="s">
        <v>600</v>
      </c>
      <c r="G406" s="15">
        <f>G477+G382+G379+G387</f>
        <v>25381</v>
      </c>
      <c r="H406" s="22" t="s">
        <v>30</v>
      </c>
    </row>
    <row r="407" spans="1:8" ht="12.75">
      <c r="A407" s="15" t="s">
        <v>752</v>
      </c>
      <c r="B407" s="14">
        <f t="shared" si="13"/>
        <v>405</v>
      </c>
      <c r="C407" s="14" t="s">
        <v>716</v>
      </c>
      <c r="D407" s="15" t="s">
        <v>753</v>
      </c>
      <c r="E407" s="15">
        <v>41</v>
      </c>
      <c r="F407" s="14" t="s">
        <v>600</v>
      </c>
      <c r="G407" s="15">
        <f>G477+G385+G381+G383</f>
        <v>25111</v>
      </c>
      <c r="H407" s="22" t="s">
        <v>30</v>
      </c>
    </row>
    <row r="408" spans="1:8" ht="12.75">
      <c r="A408" s="15" t="s">
        <v>754</v>
      </c>
      <c r="B408" s="14">
        <f t="shared" si="13"/>
        <v>406</v>
      </c>
      <c r="C408" s="14" t="s">
        <v>716</v>
      </c>
      <c r="D408" s="15" t="s">
        <v>755</v>
      </c>
      <c r="E408" s="15">
        <v>41</v>
      </c>
      <c r="F408" s="14" t="s">
        <v>600</v>
      </c>
      <c r="G408" s="15">
        <f>G477+G386+G378+G384</f>
        <v>25782</v>
      </c>
      <c r="H408" s="22" t="s">
        <v>30</v>
      </c>
    </row>
    <row r="409" spans="1:8" ht="12.75">
      <c r="A409" s="17" t="s">
        <v>756</v>
      </c>
      <c r="B409" s="16">
        <f t="shared" si="13"/>
        <v>407</v>
      </c>
      <c r="C409" s="16" t="s">
        <v>757</v>
      </c>
      <c r="D409" s="17" t="s">
        <v>648</v>
      </c>
      <c r="E409" s="17">
        <v>11</v>
      </c>
      <c r="F409" s="16" t="s">
        <v>600</v>
      </c>
      <c r="G409" s="17">
        <v>980</v>
      </c>
      <c r="H409" s="21" t="s">
        <v>37</v>
      </c>
    </row>
    <row r="410" spans="1:8" ht="12.75">
      <c r="A410" s="17" t="s">
        <v>758</v>
      </c>
      <c r="B410" s="16">
        <f t="shared" si="13"/>
        <v>408</v>
      </c>
      <c r="C410" s="16" t="s">
        <v>757</v>
      </c>
      <c r="D410" s="17" t="s">
        <v>648</v>
      </c>
      <c r="E410" s="17">
        <v>21</v>
      </c>
      <c r="F410" s="16" t="s">
        <v>600</v>
      </c>
      <c r="G410" s="17">
        <v>4276</v>
      </c>
      <c r="H410" s="1" t="s">
        <v>21</v>
      </c>
    </row>
    <row r="411" spans="1:8" ht="12.75">
      <c r="A411" s="17" t="s">
        <v>759</v>
      </c>
      <c r="B411" s="16">
        <f t="shared" si="13"/>
        <v>409</v>
      </c>
      <c r="C411" s="16" t="s">
        <v>757</v>
      </c>
      <c r="D411" s="17" t="s">
        <v>648</v>
      </c>
      <c r="E411" s="17">
        <v>31</v>
      </c>
      <c r="F411" s="16" t="s">
        <v>600</v>
      </c>
      <c r="G411" s="17">
        <v>15636</v>
      </c>
      <c r="H411" s="1" t="s">
        <v>45</v>
      </c>
    </row>
    <row r="412" spans="1:8" ht="12.75">
      <c r="A412" s="17" t="s">
        <v>760</v>
      </c>
      <c r="B412" s="16">
        <f t="shared" si="13"/>
        <v>410</v>
      </c>
      <c r="C412" s="16" t="s">
        <v>757</v>
      </c>
      <c r="D412" s="17" t="s">
        <v>648</v>
      </c>
      <c r="E412" s="17">
        <v>41</v>
      </c>
      <c r="F412" s="16" t="s">
        <v>600</v>
      </c>
      <c r="G412" s="17">
        <v>61555</v>
      </c>
      <c r="H412" s="22" t="s">
        <v>30</v>
      </c>
    </row>
    <row r="413" spans="1:8" ht="12.75">
      <c r="A413" s="15" t="s">
        <v>761</v>
      </c>
      <c r="B413" s="14">
        <f t="shared" si="13"/>
        <v>411</v>
      </c>
      <c r="C413" s="14" t="s">
        <v>762</v>
      </c>
      <c r="D413" s="15" t="s">
        <v>650</v>
      </c>
      <c r="E413" s="15">
        <v>11</v>
      </c>
      <c r="F413" s="14" t="s">
        <v>600</v>
      </c>
      <c r="G413" s="15">
        <v>980</v>
      </c>
      <c r="H413" s="21" t="s">
        <v>37</v>
      </c>
    </row>
    <row r="414" spans="1:8" ht="12.75">
      <c r="A414" s="15" t="s">
        <v>763</v>
      </c>
      <c r="B414" s="14">
        <f t="shared" si="13"/>
        <v>412</v>
      </c>
      <c r="C414" s="14" t="s">
        <v>762</v>
      </c>
      <c r="D414" s="15" t="s">
        <v>650</v>
      </c>
      <c r="E414" s="15">
        <v>21</v>
      </c>
      <c r="F414" s="14" t="s">
        <v>600</v>
      </c>
      <c r="G414" s="15">
        <v>4276</v>
      </c>
      <c r="H414" s="1" t="s">
        <v>21</v>
      </c>
    </row>
    <row r="415" spans="1:8" ht="12.75">
      <c r="A415" s="15" t="s">
        <v>764</v>
      </c>
      <c r="B415" s="14">
        <f t="shared" si="13"/>
        <v>413</v>
      </c>
      <c r="C415" s="14" t="s">
        <v>762</v>
      </c>
      <c r="D415" s="15" t="s">
        <v>650</v>
      </c>
      <c r="E415" s="15">
        <v>31</v>
      </c>
      <c r="F415" s="14" t="s">
        <v>600</v>
      </c>
      <c r="G415" s="15">
        <v>15636</v>
      </c>
      <c r="H415" s="1" t="s">
        <v>45</v>
      </c>
    </row>
    <row r="416" spans="1:8" ht="12.75">
      <c r="A416" s="15" t="s">
        <v>765</v>
      </c>
      <c r="B416" s="14">
        <f t="shared" si="13"/>
        <v>414</v>
      </c>
      <c r="C416" s="14" t="s">
        <v>762</v>
      </c>
      <c r="D416" s="15" t="s">
        <v>650</v>
      </c>
      <c r="E416" s="15">
        <v>41</v>
      </c>
      <c r="F416" s="14" t="s">
        <v>600</v>
      </c>
      <c r="G416" s="15">
        <v>61555</v>
      </c>
      <c r="H416" s="22" t="s">
        <v>30</v>
      </c>
    </row>
    <row r="417" spans="1:8" ht="12.75">
      <c r="A417" s="17" t="s">
        <v>766</v>
      </c>
      <c r="B417" s="16">
        <f t="shared" si="13"/>
        <v>415</v>
      </c>
      <c r="C417" s="16" t="s">
        <v>767</v>
      </c>
      <c r="D417" s="17" t="s">
        <v>768</v>
      </c>
      <c r="E417" s="17">
        <v>11</v>
      </c>
      <c r="F417" s="16" t="s">
        <v>600</v>
      </c>
      <c r="G417" s="17">
        <v>980</v>
      </c>
      <c r="H417" s="21" t="s">
        <v>37</v>
      </c>
    </row>
    <row r="418" spans="1:8" ht="12.75">
      <c r="A418" s="17" t="s">
        <v>769</v>
      </c>
      <c r="B418" s="16">
        <f t="shared" si="13"/>
        <v>416</v>
      </c>
      <c r="C418" s="16" t="s">
        <v>767</v>
      </c>
      <c r="D418" s="17" t="s">
        <v>768</v>
      </c>
      <c r="E418" s="17">
        <v>21</v>
      </c>
      <c r="F418" s="16" t="s">
        <v>600</v>
      </c>
      <c r="G418" s="17">
        <v>4276</v>
      </c>
      <c r="H418" s="1" t="s">
        <v>21</v>
      </c>
    </row>
    <row r="419" spans="1:8" ht="12.75">
      <c r="A419" s="17" t="s">
        <v>770</v>
      </c>
      <c r="B419" s="16">
        <f t="shared" si="13"/>
        <v>417</v>
      </c>
      <c r="C419" s="16" t="s">
        <v>767</v>
      </c>
      <c r="D419" s="17" t="s">
        <v>768</v>
      </c>
      <c r="E419" s="17">
        <v>31</v>
      </c>
      <c r="F419" s="16" t="s">
        <v>600</v>
      </c>
      <c r="G419" s="17">
        <v>15636</v>
      </c>
      <c r="H419" s="1" t="s">
        <v>45</v>
      </c>
    </row>
    <row r="420" spans="1:8" ht="12.75">
      <c r="A420" s="17" t="s">
        <v>771</v>
      </c>
      <c r="B420" s="16">
        <f t="shared" si="13"/>
        <v>418</v>
      </c>
      <c r="C420" s="16" t="s">
        <v>767</v>
      </c>
      <c r="D420" s="17" t="s">
        <v>768</v>
      </c>
      <c r="E420" s="17">
        <v>41</v>
      </c>
      <c r="F420" s="16" t="s">
        <v>600</v>
      </c>
      <c r="G420" s="17">
        <v>61555</v>
      </c>
      <c r="H420" s="22" t="s">
        <v>30</v>
      </c>
    </row>
    <row r="421" spans="1:8" ht="12.75">
      <c r="A421" s="15" t="s">
        <v>772</v>
      </c>
      <c r="B421" s="14">
        <f t="shared" si="13"/>
        <v>419</v>
      </c>
      <c r="C421" s="14" t="s">
        <v>773</v>
      </c>
      <c r="D421" s="15" t="s">
        <v>774</v>
      </c>
      <c r="E421" s="15">
        <v>11</v>
      </c>
      <c r="F421" s="14" t="s">
        <v>600</v>
      </c>
      <c r="G421" s="15">
        <v>980</v>
      </c>
      <c r="H421" s="21" t="s">
        <v>37</v>
      </c>
    </row>
    <row r="422" spans="1:8" ht="12.75">
      <c r="A422" s="15" t="s">
        <v>775</v>
      </c>
      <c r="B422" s="14">
        <f t="shared" si="13"/>
        <v>420</v>
      </c>
      <c r="C422" s="14" t="s">
        <v>773</v>
      </c>
      <c r="D422" s="15" t="s">
        <v>774</v>
      </c>
      <c r="E422" s="15">
        <v>21</v>
      </c>
      <c r="F422" s="14" t="s">
        <v>600</v>
      </c>
      <c r="G422" s="15">
        <v>4276</v>
      </c>
      <c r="H422" s="1" t="s">
        <v>21</v>
      </c>
    </row>
    <row r="423" spans="1:8" ht="12.75">
      <c r="A423" s="15" t="s">
        <v>776</v>
      </c>
      <c r="B423" s="14">
        <f t="shared" si="13"/>
        <v>421</v>
      </c>
      <c r="C423" s="14" t="s">
        <v>773</v>
      </c>
      <c r="D423" s="15" t="s">
        <v>774</v>
      </c>
      <c r="E423" s="15">
        <v>31</v>
      </c>
      <c r="F423" s="14" t="s">
        <v>600</v>
      </c>
      <c r="G423" s="15">
        <v>15636</v>
      </c>
      <c r="H423" s="1" t="s">
        <v>45</v>
      </c>
    </row>
    <row r="424" spans="1:8" ht="12.75">
      <c r="A424" s="15" t="s">
        <v>777</v>
      </c>
      <c r="B424" s="14">
        <f t="shared" si="13"/>
        <v>422</v>
      </c>
      <c r="C424" s="14" t="s">
        <v>773</v>
      </c>
      <c r="D424" s="15" t="s">
        <v>774</v>
      </c>
      <c r="E424" s="15">
        <v>41</v>
      </c>
      <c r="F424" s="14" t="s">
        <v>600</v>
      </c>
      <c r="G424" s="15">
        <v>61555</v>
      </c>
      <c r="H424" s="22" t="s">
        <v>30</v>
      </c>
    </row>
    <row r="425" spans="1:8" ht="12.75">
      <c r="A425" s="17" t="s">
        <v>778</v>
      </c>
      <c r="B425" s="16">
        <f t="shared" si="13"/>
        <v>423</v>
      </c>
      <c r="C425" s="16" t="s">
        <v>779</v>
      </c>
      <c r="D425" s="17" t="s">
        <v>780</v>
      </c>
      <c r="E425" s="17">
        <v>11</v>
      </c>
      <c r="F425" s="16" t="s">
        <v>600</v>
      </c>
      <c r="G425" s="17">
        <v>980</v>
      </c>
      <c r="H425" s="21" t="s">
        <v>37</v>
      </c>
    </row>
    <row r="426" spans="1:8" ht="12.75">
      <c r="A426" s="17" t="s">
        <v>781</v>
      </c>
      <c r="B426" s="16">
        <f t="shared" si="13"/>
        <v>424</v>
      </c>
      <c r="C426" s="16" t="s">
        <v>779</v>
      </c>
      <c r="D426" s="17" t="s">
        <v>780</v>
      </c>
      <c r="E426" s="17">
        <v>21</v>
      </c>
      <c r="F426" s="16" t="s">
        <v>600</v>
      </c>
      <c r="G426" s="17">
        <v>4276</v>
      </c>
      <c r="H426" s="1" t="s">
        <v>21</v>
      </c>
    </row>
    <row r="427" spans="1:8" ht="12.75">
      <c r="A427" s="17" t="s">
        <v>782</v>
      </c>
      <c r="B427" s="16">
        <f t="shared" si="13"/>
        <v>425</v>
      </c>
      <c r="C427" s="16" t="s">
        <v>779</v>
      </c>
      <c r="D427" s="17" t="s">
        <v>780</v>
      </c>
      <c r="E427" s="17">
        <v>31</v>
      </c>
      <c r="F427" s="16" t="s">
        <v>600</v>
      </c>
      <c r="G427" s="17">
        <v>15636</v>
      </c>
      <c r="H427" s="1" t="s">
        <v>45</v>
      </c>
    </row>
    <row r="428" spans="1:8" ht="12.75">
      <c r="A428" s="17" t="s">
        <v>783</v>
      </c>
      <c r="B428" s="16">
        <f t="shared" si="13"/>
        <v>426</v>
      </c>
      <c r="C428" s="16" t="s">
        <v>779</v>
      </c>
      <c r="D428" s="17" t="s">
        <v>780</v>
      </c>
      <c r="E428" s="17">
        <v>41</v>
      </c>
      <c r="F428" s="16" t="s">
        <v>600</v>
      </c>
      <c r="G428" s="17">
        <v>61555</v>
      </c>
      <c r="H428" s="22" t="s">
        <v>30</v>
      </c>
    </row>
    <row r="429" spans="1:8" ht="12.75">
      <c r="A429" s="15" t="s">
        <v>784</v>
      </c>
      <c r="B429" s="14">
        <f t="shared" si="13"/>
        <v>427</v>
      </c>
      <c r="C429" s="14" t="s">
        <v>785</v>
      </c>
      <c r="D429" s="15" t="s">
        <v>786</v>
      </c>
      <c r="E429" s="15">
        <v>11</v>
      </c>
      <c r="F429" s="14" t="s">
        <v>600</v>
      </c>
      <c r="G429" s="15">
        <v>980</v>
      </c>
      <c r="H429" s="21" t="s">
        <v>37</v>
      </c>
    </row>
    <row r="430" spans="1:8" ht="12.75">
      <c r="A430" s="15" t="s">
        <v>787</v>
      </c>
      <c r="B430" s="14">
        <f t="shared" si="13"/>
        <v>428</v>
      </c>
      <c r="C430" s="14" t="s">
        <v>785</v>
      </c>
      <c r="D430" s="15" t="s">
        <v>786</v>
      </c>
      <c r="E430" s="15">
        <v>21</v>
      </c>
      <c r="F430" s="14" t="s">
        <v>600</v>
      </c>
      <c r="G430" s="15">
        <v>4276</v>
      </c>
      <c r="H430" s="1" t="s">
        <v>21</v>
      </c>
    </row>
    <row r="431" spans="1:8" ht="12.75">
      <c r="A431" s="15" t="s">
        <v>788</v>
      </c>
      <c r="B431" s="14">
        <f t="shared" si="13"/>
        <v>429</v>
      </c>
      <c r="C431" s="14" t="s">
        <v>785</v>
      </c>
      <c r="D431" s="15" t="s">
        <v>786</v>
      </c>
      <c r="E431" s="15">
        <v>31</v>
      </c>
      <c r="F431" s="14" t="s">
        <v>600</v>
      </c>
      <c r="G431" s="15">
        <v>15636</v>
      </c>
      <c r="H431" s="1" t="s">
        <v>45</v>
      </c>
    </row>
    <row r="432" spans="1:8" ht="12.75">
      <c r="A432" s="15" t="s">
        <v>789</v>
      </c>
      <c r="B432" s="14">
        <f t="shared" si="13"/>
        <v>430</v>
      </c>
      <c r="C432" s="14" t="s">
        <v>785</v>
      </c>
      <c r="D432" s="15" t="s">
        <v>786</v>
      </c>
      <c r="E432" s="15">
        <v>41</v>
      </c>
      <c r="F432" s="14" t="s">
        <v>600</v>
      </c>
      <c r="G432" s="15">
        <v>61555</v>
      </c>
      <c r="H432" s="22" t="s">
        <v>30</v>
      </c>
    </row>
    <row r="433" spans="1:8" ht="12.75">
      <c r="A433" s="17" t="s">
        <v>790</v>
      </c>
      <c r="B433" s="16">
        <f t="shared" si="13"/>
        <v>431</v>
      </c>
      <c r="C433" s="16" t="s">
        <v>791</v>
      </c>
      <c r="D433" s="17" t="s">
        <v>656</v>
      </c>
      <c r="E433" s="17">
        <v>11</v>
      </c>
      <c r="F433" s="16" t="s">
        <v>600</v>
      </c>
      <c r="G433" s="17">
        <v>980</v>
      </c>
      <c r="H433" s="21" t="s">
        <v>37</v>
      </c>
    </row>
    <row r="434" spans="1:8" ht="12.75">
      <c r="A434" s="17" t="s">
        <v>792</v>
      </c>
      <c r="B434" s="16">
        <f t="shared" si="13"/>
        <v>432</v>
      </c>
      <c r="C434" s="16" t="s">
        <v>791</v>
      </c>
      <c r="D434" s="17" t="s">
        <v>656</v>
      </c>
      <c r="E434" s="17">
        <v>21</v>
      </c>
      <c r="F434" s="16" t="s">
        <v>600</v>
      </c>
      <c r="G434" s="17">
        <v>4276</v>
      </c>
      <c r="H434" s="1" t="s">
        <v>21</v>
      </c>
    </row>
    <row r="435" spans="1:8" ht="12.75">
      <c r="A435" s="17" t="s">
        <v>793</v>
      </c>
      <c r="B435" s="16">
        <f t="shared" si="13"/>
        <v>433</v>
      </c>
      <c r="C435" s="16" t="s">
        <v>791</v>
      </c>
      <c r="D435" s="17" t="s">
        <v>656</v>
      </c>
      <c r="E435" s="17">
        <v>31</v>
      </c>
      <c r="F435" s="16" t="s">
        <v>600</v>
      </c>
      <c r="G435" s="17">
        <v>15636</v>
      </c>
      <c r="H435" s="1" t="s">
        <v>45</v>
      </c>
    </row>
    <row r="436" spans="1:8" ht="12.75">
      <c r="A436" s="17" t="s">
        <v>794</v>
      </c>
      <c r="B436" s="16">
        <f t="shared" si="13"/>
        <v>434</v>
      </c>
      <c r="C436" s="16" t="s">
        <v>791</v>
      </c>
      <c r="D436" s="17" t="s">
        <v>656</v>
      </c>
      <c r="E436" s="17">
        <v>41</v>
      </c>
      <c r="F436" s="16" t="s">
        <v>600</v>
      </c>
      <c r="G436" s="17">
        <v>61555</v>
      </c>
      <c r="H436" s="22" t="s">
        <v>30</v>
      </c>
    </row>
    <row r="437" spans="1:8" ht="12.75">
      <c r="A437" s="15" t="s">
        <v>795</v>
      </c>
      <c r="B437" s="14">
        <f t="shared" si="13"/>
        <v>435</v>
      </c>
      <c r="C437" s="14" t="s">
        <v>796</v>
      </c>
      <c r="D437" s="15" t="s">
        <v>658</v>
      </c>
      <c r="E437" s="15">
        <v>11</v>
      </c>
      <c r="F437" s="14" t="s">
        <v>600</v>
      </c>
      <c r="G437" s="15">
        <v>980</v>
      </c>
      <c r="H437" s="21" t="s">
        <v>37</v>
      </c>
    </row>
    <row r="438" spans="1:8" ht="12.75">
      <c r="A438" s="15" t="s">
        <v>797</v>
      </c>
      <c r="B438" s="14">
        <f t="shared" si="13"/>
        <v>436</v>
      </c>
      <c r="C438" s="14" t="s">
        <v>796</v>
      </c>
      <c r="D438" s="15" t="s">
        <v>658</v>
      </c>
      <c r="E438" s="15">
        <v>21</v>
      </c>
      <c r="F438" s="14" t="s">
        <v>600</v>
      </c>
      <c r="G438" s="15">
        <v>4276</v>
      </c>
      <c r="H438" s="1" t="s">
        <v>21</v>
      </c>
    </row>
    <row r="439" spans="1:8" ht="12.75">
      <c r="A439" s="15" t="s">
        <v>798</v>
      </c>
      <c r="B439" s="14">
        <f t="shared" si="13"/>
        <v>437</v>
      </c>
      <c r="C439" s="14" t="s">
        <v>796</v>
      </c>
      <c r="D439" s="15" t="s">
        <v>658</v>
      </c>
      <c r="E439" s="15">
        <v>31</v>
      </c>
      <c r="F439" s="14" t="s">
        <v>600</v>
      </c>
      <c r="G439" s="15">
        <v>15636</v>
      </c>
      <c r="H439" s="1" t="s">
        <v>45</v>
      </c>
    </row>
    <row r="440" spans="1:8" ht="12.75">
      <c r="A440" s="15" t="s">
        <v>799</v>
      </c>
      <c r="B440" s="14">
        <f t="shared" si="13"/>
        <v>438</v>
      </c>
      <c r="C440" s="14" t="s">
        <v>796</v>
      </c>
      <c r="D440" s="15" t="s">
        <v>658</v>
      </c>
      <c r="E440" s="15">
        <v>41</v>
      </c>
      <c r="F440" s="14" t="s">
        <v>600</v>
      </c>
      <c r="G440" s="15">
        <v>61555</v>
      </c>
      <c r="H440" s="22" t="s">
        <v>30</v>
      </c>
    </row>
    <row r="441" spans="1:8" ht="12.75">
      <c r="A441" s="17" t="s">
        <v>800</v>
      </c>
      <c r="B441" s="16">
        <f t="shared" si="13"/>
        <v>439</v>
      </c>
      <c r="C441" s="16" t="s">
        <v>801</v>
      </c>
      <c r="D441" s="17" t="s">
        <v>802</v>
      </c>
      <c r="E441" s="17">
        <v>11</v>
      </c>
      <c r="F441" s="16" t="s">
        <v>600</v>
      </c>
      <c r="G441" s="17">
        <v>980</v>
      </c>
      <c r="H441" s="21" t="s">
        <v>37</v>
      </c>
    </row>
    <row r="442" spans="1:8" ht="12.75">
      <c r="A442" s="17" t="s">
        <v>803</v>
      </c>
      <c r="B442" s="16">
        <f t="shared" si="13"/>
        <v>440</v>
      </c>
      <c r="C442" s="16" t="s">
        <v>801</v>
      </c>
      <c r="D442" s="17" t="s">
        <v>802</v>
      </c>
      <c r="E442" s="17">
        <v>21</v>
      </c>
      <c r="F442" s="16" t="s">
        <v>600</v>
      </c>
      <c r="G442" s="17">
        <v>4276</v>
      </c>
      <c r="H442" s="1" t="s">
        <v>21</v>
      </c>
    </row>
    <row r="443" spans="1:8" ht="12.75">
      <c r="A443" s="17" t="s">
        <v>804</v>
      </c>
      <c r="B443" s="16">
        <f t="shared" si="13"/>
        <v>441</v>
      </c>
      <c r="C443" s="16" t="s">
        <v>801</v>
      </c>
      <c r="D443" s="17" t="s">
        <v>802</v>
      </c>
      <c r="E443" s="17">
        <v>31</v>
      </c>
      <c r="F443" s="16" t="s">
        <v>600</v>
      </c>
      <c r="G443" s="17">
        <v>15636</v>
      </c>
      <c r="H443" s="1" t="s">
        <v>45</v>
      </c>
    </row>
    <row r="444" spans="1:8" ht="12.75">
      <c r="A444" s="17" t="s">
        <v>805</v>
      </c>
      <c r="B444" s="16">
        <f t="shared" si="13"/>
        <v>442</v>
      </c>
      <c r="C444" s="16" t="s">
        <v>801</v>
      </c>
      <c r="D444" s="17" t="s">
        <v>802</v>
      </c>
      <c r="E444" s="17">
        <v>41</v>
      </c>
      <c r="F444" s="16" t="s">
        <v>600</v>
      </c>
      <c r="G444" s="17">
        <v>61555</v>
      </c>
      <c r="H444" s="22" t="s">
        <v>30</v>
      </c>
    </row>
    <row r="445" spans="1:8" ht="12.75">
      <c r="A445" s="15" t="s">
        <v>806</v>
      </c>
      <c r="B445" s="14">
        <f t="shared" si="13"/>
        <v>443</v>
      </c>
      <c r="C445" s="14" t="s">
        <v>807</v>
      </c>
      <c r="D445" s="15" t="s">
        <v>808</v>
      </c>
      <c r="E445" s="15">
        <v>11</v>
      </c>
      <c r="F445" s="14" t="s">
        <v>600</v>
      </c>
      <c r="G445" s="15">
        <v>980</v>
      </c>
      <c r="H445" s="21" t="s">
        <v>37</v>
      </c>
    </row>
    <row r="446" spans="1:8" ht="12.75">
      <c r="A446" s="15" t="s">
        <v>809</v>
      </c>
      <c r="B446" s="14">
        <f t="shared" si="13"/>
        <v>444</v>
      </c>
      <c r="C446" s="14" t="s">
        <v>807</v>
      </c>
      <c r="D446" s="15" t="s">
        <v>808</v>
      </c>
      <c r="E446" s="15">
        <v>21</v>
      </c>
      <c r="F446" s="14" t="s">
        <v>600</v>
      </c>
      <c r="G446" s="15">
        <v>4276</v>
      </c>
      <c r="H446" s="1" t="s">
        <v>21</v>
      </c>
    </row>
    <row r="447" spans="1:8" ht="12.75">
      <c r="A447" s="15" t="s">
        <v>810</v>
      </c>
      <c r="B447" s="14">
        <f t="shared" si="13"/>
        <v>445</v>
      </c>
      <c r="C447" s="14" t="s">
        <v>807</v>
      </c>
      <c r="D447" s="15" t="s">
        <v>808</v>
      </c>
      <c r="E447" s="15">
        <v>31</v>
      </c>
      <c r="F447" s="14" t="s">
        <v>600</v>
      </c>
      <c r="G447" s="15">
        <v>15636</v>
      </c>
      <c r="H447" s="1" t="s">
        <v>45</v>
      </c>
    </row>
    <row r="448" spans="1:8" ht="12.75">
      <c r="A448" s="15" t="s">
        <v>811</v>
      </c>
      <c r="B448" s="14">
        <f t="shared" si="13"/>
        <v>446</v>
      </c>
      <c r="C448" s="14" t="s">
        <v>807</v>
      </c>
      <c r="D448" s="15" t="s">
        <v>808</v>
      </c>
      <c r="E448" s="15">
        <v>41</v>
      </c>
      <c r="F448" s="14" t="s">
        <v>600</v>
      </c>
      <c r="G448" s="15">
        <v>61555</v>
      </c>
      <c r="H448" s="22" t="s">
        <v>30</v>
      </c>
    </row>
    <row r="449" spans="1:8" ht="12.75">
      <c r="A449" s="17" t="s">
        <v>812</v>
      </c>
      <c r="B449" s="16">
        <f t="shared" si="13"/>
        <v>447</v>
      </c>
      <c r="C449" s="16" t="s">
        <v>813</v>
      </c>
      <c r="D449" s="17" t="s">
        <v>814</v>
      </c>
      <c r="E449" s="17">
        <v>11</v>
      </c>
      <c r="F449" s="16" t="s">
        <v>600</v>
      </c>
      <c r="G449" s="17">
        <v>980</v>
      </c>
      <c r="H449" s="21" t="s">
        <v>37</v>
      </c>
    </row>
    <row r="450" spans="1:8" ht="12.75">
      <c r="A450" s="17" t="s">
        <v>815</v>
      </c>
      <c r="B450" s="16">
        <f t="shared" si="13"/>
        <v>448</v>
      </c>
      <c r="C450" s="16" t="s">
        <v>813</v>
      </c>
      <c r="D450" s="17" t="s">
        <v>814</v>
      </c>
      <c r="E450" s="17">
        <v>21</v>
      </c>
      <c r="F450" s="16" t="s">
        <v>600</v>
      </c>
      <c r="G450" s="17">
        <v>4276</v>
      </c>
      <c r="H450" s="1" t="s">
        <v>21</v>
      </c>
    </row>
    <row r="451" spans="1:8" ht="12.75">
      <c r="A451" s="17" t="s">
        <v>816</v>
      </c>
      <c r="B451" s="16">
        <f t="shared" si="13"/>
        <v>449</v>
      </c>
      <c r="C451" s="16" t="s">
        <v>813</v>
      </c>
      <c r="D451" s="17" t="s">
        <v>814</v>
      </c>
      <c r="E451" s="17">
        <v>31</v>
      </c>
      <c r="F451" s="16" t="s">
        <v>600</v>
      </c>
      <c r="G451" s="17">
        <v>15636</v>
      </c>
      <c r="H451" s="1" t="s">
        <v>45</v>
      </c>
    </row>
    <row r="452" spans="1:8" ht="12.75">
      <c r="A452" s="17" t="s">
        <v>817</v>
      </c>
      <c r="B452" s="16">
        <f t="shared" si="13"/>
        <v>450</v>
      </c>
      <c r="C452" s="16" t="s">
        <v>813</v>
      </c>
      <c r="D452" s="17" t="s">
        <v>814</v>
      </c>
      <c r="E452" s="17">
        <v>41</v>
      </c>
      <c r="F452" s="16" t="s">
        <v>600</v>
      </c>
      <c r="G452" s="17">
        <v>61555</v>
      </c>
      <c r="H452" s="22" t="s">
        <v>30</v>
      </c>
    </row>
    <row r="453" spans="1:8" ht="12.75">
      <c r="A453" s="15" t="s">
        <v>818</v>
      </c>
      <c r="B453" s="14">
        <f t="shared" si="13"/>
        <v>451</v>
      </c>
      <c r="C453" s="14" t="s">
        <v>819</v>
      </c>
      <c r="D453" s="15" t="s">
        <v>820</v>
      </c>
      <c r="E453" s="15">
        <v>11</v>
      </c>
      <c r="F453" s="14" t="s">
        <v>600</v>
      </c>
      <c r="G453" s="15">
        <v>980</v>
      </c>
      <c r="H453" s="21" t="s">
        <v>37</v>
      </c>
    </row>
    <row r="454" spans="1:8" ht="12.75">
      <c r="A454" s="15" t="s">
        <v>821</v>
      </c>
      <c r="B454" s="14">
        <f t="shared" si="13"/>
        <v>452</v>
      </c>
      <c r="C454" s="14" t="s">
        <v>819</v>
      </c>
      <c r="D454" s="15" t="s">
        <v>820</v>
      </c>
      <c r="E454" s="15">
        <v>21</v>
      </c>
      <c r="F454" s="14" t="s">
        <v>600</v>
      </c>
      <c r="G454" s="15">
        <v>4276</v>
      </c>
      <c r="H454" s="1" t="s">
        <v>21</v>
      </c>
    </row>
    <row r="455" spans="1:8" ht="12.75">
      <c r="A455" s="15" t="s">
        <v>822</v>
      </c>
      <c r="B455" s="14">
        <f t="shared" si="13"/>
        <v>453</v>
      </c>
      <c r="C455" s="14" t="s">
        <v>819</v>
      </c>
      <c r="D455" s="15" t="s">
        <v>820</v>
      </c>
      <c r="E455" s="15">
        <v>31</v>
      </c>
      <c r="F455" s="14" t="s">
        <v>600</v>
      </c>
      <c r="G455" s="15">
        <v>15636</v>
      </c>
      <c r="H455" s="1" t="s">
        <v>45</v>
      </c>
    </row>
    <row r="456" spans="1:8" ht="12.75">
      <c r="A456" s="15" t="s">
        <v>823</v>
      </c>
      <c r="B456" s="14">
        <f t="shared" si="13"/>
        <v>454</v>
      </c>
      <c r="C456" s="14" t="s">
        <v>819</v>
      </c>
      <c r="D456" s="15" t="s">
        <v>820</v>
      </c>
      <c r="E456" s="15">
        <v>41</v>
      </c>
      <c r="F456" s="14" t="s">
        <v>600</v>
      </c>
      <c r="G456" s="15">
        <v>61555</v>
      </c>
      <c r="H456" s="22" t="s">
        <v>30</v>
      </c>
    </row>
    <row r="457" spans="1:8" ht="25.5">
      <c r="A457" s="17" t="s">
        <v>824</v>
      </c>
      <c r="B457" s="16">
        <f t="shared" si="13"/>
        <v>455</v>
      </c>
      <c r="C457" s="16" t="s">
        <v>825</v>
      </c>
      <c r="D457" s="17" t="s">
        <v>826</v>
      </c>
      <c r="E457" s="17">
        <v>11</v>
      </c>
      <c r="F457" s="16" t="s">
        <v>600</v>
      </c>
      <c r="G457" s="17">
        <v>980</v>
      </c>
      <c r="H457" s="21" t="s">
        <v>37</v>
      </c>
    </row>
    <row r="458" spans="1:8" ht="25.5">
      <c r="A458" s="17" t="s">
        <v>827</v>
      </c>
      <c r="B458" s="16">
        <f t="shared" si="13"/>
        <v>456</v>
      </c>
      <c r="C458" s="16" t="s">
        <v>825</v>
      </c>
      <c r="D458" s="17" t="s">
        <v>826</v>
      </c>
      <c r="E458" s="17">
        <v>21</v>
      </c>
      <c r="F458" s="16" t="s">
        <v>600</v>
      </c>
      <c r="G458" s="17">
        <v>4276</v>
      </c>
      <c r="H458" s="1" t="s">
        <v>21</v>
      </c>
    </row>
    <row r="459" spans="1:8" ht="25.5">
      <c r="A459" s="17" t="s">
        <v>828</v>
      </c>
      <c r="B459" s="16">
        <f t="shared" si="13"/>
        <v>457</v>
      </c>
      <c r="C459" s="16" t="s">
        <v>825</v>
      </c>
      <c r="D459" s="17" t="s">
        <v>826</v>
      </c>
      <c r="E459" s="17">
        <v>31</v>
      </c>
      <c r="F459" s="16" t="s">
        <v>600</v>
      </c>
      <c r="G459" s="17">
        <v>15636</v>
      </c>
      <c r="H459" s="1" t="s">
        <v>45</v>
      </c>
    </row>
    <row r="460" spans="1:8" ht="25.5">
      <c r="A460" s="17" t="s">
        <v>829</v>
      </c>
      <c r="B460" s="16">
        <f t="shared" si="13"/>
        <v>458</v>
      </c>
      <c r="C460" s="16" t="s">
        <v>825</v>
      </c>
      <c r="D460" s="17" t="s">
        <v>826</v>
      </c>
      <c r="E460" s="17">
        <v>41</v>
      </c>
      <c r="F460" s="16" t="s">
        <v>600</v>
      </c>
      <c r="G460" s="17">
        <v>61555</v>
      </c>
      <c r="H460" s="22" t="s">
        <v>30</v>
      </c>
    </row>
    <row r="461" spans="1:8" ht="12.75">
      <c r="A461" s="15" t="s">
        <v>830</v>
      </c>
      <c r="B461" s="14">
        <f t="shared" si="13"/>
        <v>459</v>
      </c>
      <c r="C461" s="14" t="s">
        <v>831</v>
      </c>
      <c r="D461" s="15" t="s">
        <v>666</v>
      </c>
      <c r="E461" s="15">
        <v>11</v>
      </c>
      <c r="F461" s="14" t="s">
        <v>600</v>
      </c>
      <c r="G461" s="15">
        <v>980</v>
      </c>
      <c r="H461" s="21" t="s">
        <v>37</v>
      </c>
    </row>
    <row r="462" spans="1:8" ht="12.75">
      <c r="A462" s="15" t="s">
        <v>832</v>
      </c>
      <c r="B462" s="14">
        <f t="shared" si="13"/>
        <v>460</v>
      </c>
      <c r="C462" s="14" t="s">
        <v>831</v>
      </c>
      <c r="D462" s="15" t="s">
        <v>666</v>
      </c>
      <c r="E462" s="15">
        <v>21</v>
      </c>
      <c r="F462" s="14" t="s">
        <v>600</v>
      </c>
      <c r="G462" s="15">
        <v>4276</v>
      </c>
      <c r="H462" s="1" t="s">
        <v>21</v>
      </c>
    </row>
    <row r="463" spans="1:8" ht="12.75">
      <c r="A463" s="15" t="s">
        <v>833</v>
      </c>
      <c r="B463" s="14">
        <f t="shared" si="13"/>
        <v>461</v>
      </c>
      <c r="C463" s="14" t="s">
        <v>831</v>
      </c>
      <c r="D463" s="15" t="s">
        <v>666</v>
      </c>
      <c r="E463" s="15">
        <v>31</v>
      </c>
      <c r="F463" s="14" t="s">
        <v>600</v>
      </c>
      <c r="G463" s="15">
        <v>15636</v>
      </c>
      <c r="H463" s="1" t="s">
        <v>45</v>
      </c>
    </row>
    <row r="464" spans="1:8" ht="12.75">
      <c r="A464" s="15" t="s">
        <v>834</v>
      </c>
      <c r="B464" s="14">
        <f t="shared" si="13"/>
        <v>462</v>
      </c>
      <c r="C464" s="14" t="s">
        <v>831</v>
      </c>
      <c r="D464" s="15" t="s">
        <v>666</v>
      </c>
      <c r="E464" s="15">
        <v>41</v>
      </c>
      <c r="F464" s="14" t="s">
        <v>600</v>
      </c>
      <c r="G464" s="15">
        <v>61555</v>
      </c>
      <c r="H464" s="22" t="s">
        <v>30</v>
      </c>
    </row>
    <row r="465" spans="1:8" ht="12.75">
      <c r="A465" s="17" t="s">
        <v>835</v>
      </c>
      <c r="B465" s="16">
        <f t="shared" si="13"/>
        <v>463</v>
      </c>
      <c r="C465" s="16" t="s">
        <v>836</v>
      </c>
      <c r="D465" s="17" t="s">
        <v>668</v>
      </c>
      <c r="E465" s="17">
        <v>11</v>
      </c>
      <c r="F465" s="16" t="s">
        <v>600</v>
      </c>
      <c r="G465" s="17">
        <v>980</v>
      </c>
      <c r="H465" s="21" t="s">
        <v>37</v>
      </c>
    </row>
    <row r="466" spans="1:8" ht="12.75">
      <c r="A466" s="17" t="s">
        <v>837</v>
      </c>
      <c r="B466" s="16">
        <f t="shared" si="13"/>
        <v>464</v>
      </c>
      <c r="C466" s="16" t="s">
        <v>836</v>
      </c>
      <c r="D466" s="17" t="s">
        <v>668</v>
      </c>
      <c r="E466" s="17">
        <v>21</v>
      </c>
      <c r="F466" s="16" t="s">
        <v>600</v>
      </c>
      <c r="G466" s="17">
        <v>4276</v>
      </c>
      <c r="H466" s="1" t="s">
        <v>21</v>
      </c>
    </row>
    <row r="467" spans="1:8" ht="12.75">
      <c r="A467" s="17" t="s">
        <v>838</v>
      </c>
      <c r="B467" s="16">
        <f t="shared" si="13"/>
        <v>465</v>
      </c>
      <c r="C467" s="16" t="s">
        <v>836</v>
      </c>
      <c r="D467" s="17" t="s">
        <v>668</v>
      </c>
      <c r="E467" s="17">
        <v>31</v>
      </c>
      <c r="F467" s="16" t="s">
        <v>600</v>
      </c>
      <c r="G467" s="17">
        <v>15636</v>
      </c>
      <c r="H467" s="1" t="s">
        <v>45</v>
      </c>
    </row>
    <row r="468" spans="1:8" ht="12.75">
      <c r="A468" s="17" t="s">
        <v>839</v>
      </c>
      <c r="B468" s="16">
        <f t="shared" si="13"/>
        <v>466</v>
      </c>
      <c r="C468" s="16" t="s">
        <v>836</v>
      </c>
      <c r="D468" s="17" t="s">
        <v>668</v>
      </c>
      <c r="E468" s="17">
        <v>41</v>
      </c>
      <c r="F468" s="16" t="s">
        <v>600</v>
      </c>
      <c r="G468" s="17">
        <v>61555</v>
      </c>
      <c r="H468" s="22" t="s">
        <v>30</v>
      </c>
    </row>
    <row r="469" spans="1:8" ht="12.75">
      <c r="A469" s="15" t="s">
        <v>840</v>
      </c>
      <c r="B469" s="14">
        <f t="shared" si="13"/>
        <v>467</v>
      </c>
      <c r="C469" s="14" t="s">
        <v>841</v>
      </c>
      <c r="D469" s="15" t="s">
        <v>670</v>
      </c>
      <c r="E469" s="15">
        <v>11</v>
      </c>
      <c r="F469" s="14" t="s">
        <v>600</v>
      </c>
      <c r="G469" s="15">
        <v>980</v>
      </c>
      <c r="H469" s="21" t="s">
        <v>37</v>
      </c>
    </row>
    <row r="470" spans="1:8" ht="12.75">
      <c r="A470" s="15" t="s">
        <v>842</v>
      </c>
      <c r="B470" s="14">
        <f t="shared" si="13"/>
        <v>468</v>
      </c>
      <c r="C470" s="14" t="s">
        <v>841</v>
      </c>
      <c r="D470" s="15" t="s">
        <v>670</v>
      </c>
      <c r="E470" s="15">
        <v>21</v>
      </c>
      <c r="F470" s="14" t="s">
        <v>600</v>
      </c>
      <c r="G470" s="15">
        <v>4276</v>
      </c>
      <c r="H470" s="1" t="s">
        <v>21</v>
      </c>
    </row>
    <row r="471" spans="1:8" ht="12.75">
      <c r="A471" s="15" t="s">
        <v>843</v>
      </c>
      <c r="B471" s="14">
        <f t="shared" si="13"/>
        <v>469</v>
      </c>
      <c r="C471" s="14" t="s">
        <v>841</v>
      </c>
      <c r="D471" s="15" t="s">
        <v>670</v>
      </c>
      <c r="E471" s="15">
        <v>31</v>
      </c>
      <c r="F471" s="14" t="s">
        <v>600</v>
      </c>
      <c r="G471" s="15">
        <v>15636</v>
      </c>
      <c r="H471" s="1" t="s">
        <v>45</v>
      </c>
    </row>
    <row r="472" spans="1:8" ht="12.75">
      <c r="A472" s="15" t="s">
        <v>844</v>
      </c>
      <c r="B472" s="14">
        <f t="shared" si="13"/>
        <v>470</v>
      </c>
      <c r="C472" s="14" t="s">
        <v>841</v>
      </c>
      <c r="D472" s="15" t="s">
        <v>670</v>
      </c>
      <c r="E472" s="15">
        <v>41</v>
      </c>
      <c r="F472" s="14" t="s">
        <v>600</v>
      </c>
      <c r="G472" s="15">
        <v>61555</v>
      </c>
      <c r="H472" s="22" t="s">
        <v>30</v>
      </c>
    </row>
    <row r="473" spans="1:8" ht="12.75">
      <c r="A473" s="16" t="s">
        <v>845</v>
      </c>
      <c r="B473" s="16">
        <f t="shared" si="13"/>
        <v>471</v>
      </c>
      <c r="C473" s="16" t="s">
        <v>846</v>
      </c>
      <c r="D473" s="17" t="s">
        <v>581</v>
      </c>
      <c r="E473" s="17">
        <v>1</v>
      </c>
      <c r="F473" s="16" t="s">
        <v>600</v>
      </c>
      <c r="G473" s="16">
        <v>46</v>
      </c>
      <c r="H473" s="1" t="s">
        <v>12</v>
      </c>
    </row>
    <row r="474" spans="1:8" ht="12.75">
      <c r="A474" s="17" t="s">
        <v>847</v>
      </c>
      <c r="B474" s="16">
        <f t="shared" si="13"/>
        <v>472</v>
      </c>
      <c r="C474" s="16" t="s">
        <v>846</v>
      </c>
      <c r="D474" s="17" t="s">
        <v>581</v>
      </c>
      <c r="E474" s="17">
        <v>11</v>
      </c>
      <c r="F474" s="16" t="s">
        <v>600</v>
      </c>
      <c r="G474" s="17">
        <v>158</v>
      </c>
      <c r="H474" s="21" t="s">
        <v>37</v>
      </c>
    </row>
    <row r="475" spans="1:8" ht="12.75">
      <c r="A475" s="17" t="s">
        <v>848</v>
      </c>
      <c r="B475" s="16">
        <f t="shared" si="13"/>
        <v>473</v>
      </c>
      <c r="C475" s="16" t="s">
        <v>846</v>
      </c>
      <c r="D475" s="17" t="s">
        <v>581</v>
      </c>
      <c r="E475" s="17">
        <v>21</v>
      </c>
      <c r="F475" s="16" t="s">
        <v>600</v>
      </c>
      <c r="G475" s="17">
        <v>707</v>
      </c>
      <c r="H475" s="1" t="s">
        <v>21</v>
      </c>
    </row>
    <row r="476" spans="1:8" ht="12.75">
      <c r="A476" s="17" t="s">
        <v>849</v>
      </c>
      <c r="B476" s="16">
        <f t="shared" si="13"/>
        <v>474</v>
      </c>
      <c r="C476" s="16" t="s">
        <v>846</v>
      </c>
      <c r="D476" s="17" t="s">
        <v>581</v>
      </c>
      <c r="E476" s="17">
        <v>31</v>
      </c>
      <c r="F476" s="16" t="s">
        <v>600</v>
      </c>
      <c r="G476" s="17">
        <v>2738</v>
      </c>
      <c r="H476" s="1" t="s">
        <v>45</v>
      </c>
    </row>
    <row r="477" spans="1:8" ht="12.75">
      <c r="A477" s="17" t="s">
        <v>850</v>
      </c>
      <c r="B477" s="16">
        <f t="shared" si="13"/>
        <v>475</v>
      </c>
      <c r="C477" s="16" t="s">
        <v>846</v>
      </c>
      <c r="D477" s="17" t="s">
        <v>581</v>
      </c>
      <c r="E477" s="17">
        <v>41</v>
      </c>
      <c r="F477" s="16" t="s">
        <v>600</v>
      </c>
      <c r="G477" s="17">
        <v>13660</v>
      </c>
      <c r="H477" s="22" t="s">
        <v>30</v>
      </c>
    </row>
    <row r="478" spans="1:8" ht="12.75">
      <c r="A478" s="16" t="s">
        <v>851</v>
      </c>
      <c r="B478" s="16">
        <f t="shared" si="13"/>
        <v>476</v>
      </c>
      <c r="C478" s="16" t="s">
        <v>852</v>
      </c>
      <c r="D478" s="17" t="s">
        <v>581</v>
      </c>
      <c r="E478" s="17">
        <v>1</v>
      </c>
      <c r="F478" s="16" t="s">
        <v>600</v>
      </c>
      <c r="G478" s="16">
        <v>62</v>
      </c>
      <c r="H478" s="1" t="s">
        <v>12</v>
      </c>
    </row>
    <row r="479" spans="1:8" ht="12.75">
      <c r="A479" s="16" t="s">
        <v>853</v>
      </c>
      <c r="B479" s="16">
        <f t="shared" si="13"/>
        <v>477</v>
      </c>
      <c r="C479" s="16" t="s">
        <v>852</v>
      </c>
      <c r="D479" s="17" t="s">
        <v>581</v>
      </c>
      <c r="E479" s="17">
        <v>11</v>
      </c>
      <c r="F479" s="16" t="s">
        <v>600</v>
      </c>
      <c r="G479" s="17">
        <v>212</v>
      </c>
      <c r="H479" s="21" t="s">
        <v>37</v>
      </c>
    </row>
    <row r="480" spans="1:8" ht="12.75">
      <c r="A480" s="16" t="s">
        <v>854</v>
      </c>
      <c r="B480" s="16">
        <f t="shared" si="13"/>
        <v>478</v>
      </c>
      <c r="C480" s="16" t="s">
        <v>852</v>
      </c>
      <c r="D480" s="17" t="s">
        <v>581</v>
      </c>
      <c r="E480" s="17">
        <v>21</v>
      </c>
      <c r="F480" s="16" t="s">
        <v>600</v>
      </c>
      <c r="G480" s="17">
        <v>843</v>
      </c>
      <c r="H480" s="1" t="s">
        <v>21</v>
      </c>
    </row>
    <row r="481" spans="1:8" ht="12.75">
      <c r="A481" s="16" t="s">
        <v>855</v>
      </c>
      <c r="B481" s="16">
        <f t="shared" si="13"/>
        <v>479</v>
      </c>
      <c r="C481" s="16" t="s">
        <v>852</v>
      </c>
      <c r="D481" s="17" t="s">
        <v>581</v>
      </c>
      <c r="E481" s="17">
        <v>31</v>
      </c>
      <c r="F481" s="16" t="s">
        <v>600</v>
      </c>
      <c r="G481" s="17">
        <v>3120</v>
      </c>
      <c r="H481" s="1" t="s">
        <v>45</v>
      </c>
    </row>
    <row r="482" spans="1:8" ht="12.75">
      <c r="A482" s="16" t="s">
        <v>856</v>
      </c>
      <c r="B482" s="16">
        <f t="shared" si="13"/>
        <v>480</v>
      </c>
      <c r="C482" s="16" t="s">
        <v>852</v>
      </c>
      <c r="D482" s="17" t="s">
        <v>581</v>
      </c>
      <c r="E482" s="17">
        <v>41</v>
      </c>
      <c r="F482" s="16" t="s">
        <v>600</v>
      </c>
      <c r="G482" s="17">
        <v>14783</v>
      </c>
      <c r="H482" s="22" t="s">
        <v>30</v>
      </c>
    </row>
    <row r="483" spans="1:8" ht="12.75">
      <c r="A483" s="14" t="s">
        <v>857</v>
      </c>
      <c r="B483" s="14">
        <f t="shared" si="13"/>
        <v>481</v>
      </c>
      <c r="C483" s="23" t="s">
        <v>858</v>
      </c>
      <c r="D483" s="15" t="s">
        <v>859</v>
      </c>
      <c r="E483" s="14">
        <v>11</v>
      </c>
      <c r="F483" s="14" t="s">
        <v>598</v>
      </c>
      <c r="G483" s="14">
        <f>1*G474+2*MIN(G287:G306)</f>
        <v>186</v>
      </c>
      <c r="H483" s="21" t="s">
        <v>37</v>
      </c>
    </row>
    <row r="484" spans="1:8" ht="12.75">
      <c r="A484" s="14" t="s">
        <v>860</v>
      </c>
      <c r="B484" s="14">
        <f t="shared" si="13"/>
        <v>482</v>
      </c>
      <c r="C484" s="23" t="s">
        <v>861</v>
      </c>
      <c r="D484" s="15" t="s">
        <v>862</v>
      </c>
      <c r="E484" s="14">
        <v>11</v>
      </c>
      <c r="F484" s="14" t="s">
        <v>598</v>
      </c>
      <c r="G484" s="14">
        <f>1*G474+8*MIN(G353:G388)</f>
        <v>262</v>
      </c>
      <c r="H484" s="21" t="s">
        <v>37</v>
      </c>
    </row>
    <row r="485" spans="1:8" ht="12.75">
      <c r="A485" s="14" t="s">
        <v>863</v>
      </c>
      <c r="B485" s="14">
        <f t="shared" si="13"/>
        <v>483</v>
      </c>
      <c r="C485" s="23" t="s">
        <v>864</v>
      </c>
      <c r="D485" s="15" t="s">
        <v>865</v>
      </c>
      <c r="E485" s="14">
        <v>11</v>
      </c>
      <c r="F485" s="14" t="s">
        <v>598</v>
      </c>
      <c r="G485" s="14">
        <f>4*MIN(G287:G306)</f>
        <v>56</v>
      </c>
      <c r="H485" s="21" t="s">
        <v>37</v>
      </c>
    </row>
    <row r="486" spans="1:8" ht="12.75">
      <c r="A486" s="14" t="s">
        <v>866</v>
      </c>
      <c r="B486" s="14">
        <f t="shared" si="13"/>
        <v>484</v>
      </c>
      <c r="C486" s="23" t="s">
        <v>867</v>
      </c>
      <c r="D486" s="15" t="s">
        <v>868</v>
      </c>
      <c r="E486" s="14">
        <v>31</v>
      </c>
      <c r="F486" s="14" t="s">
        <v>598</v>
      </c>
      <c r="G486" s="14">
        <f>G475+G401</f>
        <v>6884</v>
      </c>
      <c r="H486" s="1" t="s">
        <v>45</v>
      </c>
    </row>
    <row r="487" spans="1:8" ht="12.75">
      <c r="A487" s="24" t="s">
        <v>869</v>
      </c>
      <c r="B487" s="4">
        <f t="shared" si="13"/>
        <v>485</v>
      </c>
      <c r="C487" s="24" t="s">
        <v>870</v>
      </c>
      <c r="D487" s="25" t="s">
        <v>581</v>
      </c>
      <c r="E487" s="24">
        <v>11</v>
      </c>
      <c r="F487" s="24" t="s">
        <v>871</v>
      </c>
      <c r="G487" s="24">
        <v>271</v>
      </c>
      <c r="H487" s="21" t="s">
        <v>37</v>
      </c>
    </row>
    <row r="488" spans="1:8" ht="12.75">
      <c r="A488" s="24" t="s">
        <v>872</v>
      </c>
      <c r="B488" s="4">
        <f t="shared" si="13"/>
        <v>486</v>
      </c>
      <c r="C488" s="24" t="s">
        <v>873</v>
      </c>
      <c r="D488" s="25" t="s">
        <v>581</v>
      </c>
      <c r="E488" s="24">
        <v>21</v>
      </c>
      <c r="F488" s="24" t="s">
        <v>871</v>
      </c>
      <c r="G488" s="24">
        <v>840</v>
      </c>
      <c r="H488" s="1" t="s">
        <v>21</v>
      </c>
    </row>
    <row r="489" spans="1:8" ht="12.75">
      <c r="A489" s="24" t="s">
        <v>874</v>
      </c>
      <c r="B489" s="4">
        <f t="shared" si="13"/>
        <v>487</v>
      </c>
      <c r="C489" s="24" t="s">
        <v>875</v>
      </c>
      <c r="D489" s="25" t="s">
        <v>581</v>
      </c>
      <c r="E489" s="24">
        <v>41</v>
      </c>
      <c r="F489" s="24" t="s">
        <v>871</v>
      </c>
      <c r="G489" s="24">
        <v>16056</v>
      </c>
      <c r="H489" s="22" t="s">
        <v>30</v>
      </c>
    </row>
    <row r="490" spans="1:8" ht="12.75">
      <c r="A490" s="26" t="s">
        <v>870</v>
      </c>
      <c r="B490" s="4">
        <f t="shared" si="13"/>
        <v>488</v>
      </c>
      <c r="C490" s="26" t="s">
        <v>876</v>
      </c>
      <c r="D490" s="27" t="s">
        <v>877</v>
      </c>
      <c r="E490" s="26">
        <v>11</v>
      </c>
      <c r="F490" s="26" t="s">
        <v>871</v>
      </c>
      <c r="G490" s="26">
        <f t="shared" ref="G490:G492" si="18">FLOOR(G487/2,1)</f>
        <v>135</v>
      </c>
      <c r="H490" s="21" t="s">
        <v>37</v>
      </c>
    </row>
    <row r="491" spans="1:8" ht="12.75">
      <c r="A491" s="26" t="s">
        <v>873</v>
      </c>
      <c r="B491" s="4">
        <f t="shared" si="13"/>
        <v>489</v>
      </c>
      <c r="C491" s="26" t="s">
        <v>878</v>
      </c>
      <c r="D491" s="27" t="s">
        <v>879</v>
      </c>
      <c r="E491" s="26">
        <v>21</v>
      </c>
      <c r="F491" s="26" t="s">
        <v>871</v>
      </c>
      <c r="G491" s="26">
        <f t="shared" si="18"/>
        <v>420</v>
      </c>
      <c r="H491" s="1" t="s">
        <v>21</v>
      </c>
    </row>
    <row r="492" spans="1:8" ht="12.75">
      <c r="A492" s="26" t="s">
        <v>875</v>
      </c>
      <c r="B492" s="4">
        <f t="shared" si="13"/>
        <v>490</v>
      </c>
      <c r="C492" s="26" t="s">
        <v>880</v>
      </c>
      <c r="D492" s="27" t="s">
        <v>881</v>
      </c>
      <c r="E492" s="26">
        <v>41</v>
      </c>
      <c r="F492" s="26" t="s">
        <v>871</v>
      </c>
      <c r="G492" s="26">
        <f t="shared" si="18"/>
        <v>8028</v>
      </c>
      <c r="H492" s="22" t="s">
        <v>30</v>
      </c>
    </row>
    <row r="493" spans="1:8" ht="12.75">
      <c r="A493" s="24" t="s">
        <v>882</v>
      </c>
      <c r="B493" s="4">
        <f t="shared" si="13"/>
        <v>491</v>
      </c>
      <c r="C493" s="24" t="s">
        <v>883</v>
      </c>
      <c r="D493" s="25" t="s">
        <v>884</v>
      </c>
      <c r="E493" s="24">
        <v>11</v>
      </c>
      <c r="F493" s="24" t="s">
        <v>871</v>
      </c>
      <c r="G493" s="24">
        <v>577</v>
      </c>
      <c r="H493" s="21" t="s">
        <v>37</v>
      </c>
    </row>
    <row r="494" spans="1:8" ht="12.75">
      <c r="A494" s="24" t="s">
        <v>885</v>
      </c>
      <c r="B494" s="4">
        <f t="shared" si="13"/>
        <v>492</v>
      </c>
      <c r="C494" s="24" t="s">
        <v>886</v>
      </c>
      <c r="D494" s="25" t="s">
        <v>887</v>
      </c>
      <c r="E494" s="24">
        <v>11</v>
      </c>
      <c r="F494" s="24" t="s">
        <v>871</v>
      </c>
      <c r="G494" s="24">
        <v>572</v>
      </c>
      <c r="H494" s="21" t="s">
        <v>37</v>
      </c>
    </row>
    <row r="495" spans="1:8" ht="12.75">
      <c r="A495" s="24" t="s">
        <v>888</v>
      </c>
      <c r="B495" s="4">
        <f t="shared" si="13"/>
        <v>493</v>
      </c>
      <c r="C495" s="24" t="s">
        <v>889</v>
      </c>
      <c r="D495" s="25" t="s">
        <v>890</v>
      </c>
      <c r="E495" s="24">
        <v>11</v>
      </c>
      <c r="F495" s="24" t="s">
        <v>871</v>
      </c>
      <c r="G495" s="24">
        <v>635</v>
      </c>
      <c r="H495" s="21" t="s">
        <v>37</v>
      </c>
    </row>
    <row r="496" spans="1:8" ht="12.75">
      <c r="A496" s="24" t="s">
        <v>891</v>
      </c>
      <c r="B496" s="4">
        <f t="shared" si="13"/>
        <v>494</v>
      </c>
      <c r="C496" s="24" t="s">
        <v>892</v>
      </c>
      <c r="D496" s="25" t="s">
        <v>893</v>
      </c>
      <c r="E496" s="24">
        <v>11</v>
      </c>
      <c r="F496" s="24" t="s">
        <v>871</v>
      </c>
      <c r="G496" s="24">
        <v>704</v>
      </c>
      <c r="H496" s="21" t="s">
        <v>37</v>
      </c>
    </row>
    <row r="497" spans="1:8" ht="12.75">
      <c r="A497" s="24" t="s">
        <v>894</v>
      </c>
      <c r="B497" s="4">
        <f t="shared" si="13"/>
        <v>495</v>
      </c>
      <c r="C497" s="24" t="s">
        <v>895</v>
      </c>
      <c r="D497" s="25" t="s">
        <v>896</v>
      </c>
      <c r="E497" s="24">
        <v>11</v>
      </c>
      <c r="F497" s="24" t="s">
        <v>871</v>
      </c>
      <c r="G497" s="24">
        <v>766</v>
      </c>
      <c r="H497" s="21" t="s">
        <v>37</v>
      </c>
    </row>
    <row r="498" spans="1:8" ht="12.75">
      <c r="A498" s="24" t="s">
        <v>897</v>
      </c>
      <c r="B498" s="4">
        <f t="shared" si="13"/>
        <v>496</v>
      </c>
      <c r="C498" s="24" t="s">
        <v>898</v>
      </c>
      <c r="D498" s="25" t="s">
        <v>899</v>
      </c>
      <c r="E498" s="24">
        <v>11</v>
      </c>
      <c r="F498" s="24" t="s">
        <v>871</v>
      </c>
      <c r="G498" s="24">
        <v>833</v>
      </c>
      <c r="H498" s="21" t="s">
        <v>37</v>
      </c>
    </row>
    <row r="499" spans="1:8" ht="12.75">
      <c r="A499" s="24" t="s">
        <v>900</v>
      </c>
      <c r="B499" s="4">
        <f t="shared" si="13"/>
        <v>497</v>
      </c>
      <c r="C499" s="24" t="s">
        <v>901</v>
      </c>
      <c r="D499" s="25" t="s">
        <v>902</v>
      </c>
      <c r="E499" s="24">
        <v>11</v>
      </c>
      <c r="F499" s="24" t="s">
        <v>871</v>
      </c>
      <c r="G499" s="24">
        <v>960</v>
      </c>
      <c r="H499" s="21" t="s">
        <v>37</v>
      </c>
    </row>
    <row r="500" spans="1:8" ht="12.75">
      <c r="A500" s="24" t="s">
        <v>903</v>
      </c>
      <c r="B500" s="4">
        <f t="shared" si="13"/>
        <v>498</v>
      </c>
      <c r="C500" s="24" t="s">
        <v>904</v>
      </c>
      <c r="D500" s="25" t="s">
        <v>905</v>
      </c>
      <c r="E500" s="24">
        <v>11</v>
      </c>
      <c r="F500" s="24" t="s">
        <v>871</v>
      </c>
      <c r="G500" s="24">
        <v>1050</v>
      </c>
      <c r="H500" s="21" t="s">
        <v>37</v>
      </c>
    </row>
    <row r="501" spans="1:8" ht="12.75">
      <c r="A501" s="24" t="s">
        <v>906</v>
      </c>
      <c r="B501" s="4">
        <f t="shared" si="13"/>
        <v>499</v>
      </c>
      <c r="C501" s="24" t="s">
        <v>907</v>
      </c>
      <c r="D501" s="25" t="s">
        <v>908</v>
      </c>
      <c r="E501" s="24">
        <v>11</v>
      </c>
      <c r="F501" s="24" t="s">
        <v>871</v>
      </c>
      <c r="G501" s="24">
        <v>1151</v>
      </c>
      <c r="H501" s="21" t="s">
        <v>37</v>
      </c>
    </row>
    <row r="502" spans="1:8" ht="12.75">
      <c r="A502" s="24" t="s">
        <v>909</v>
      </c>
      <c r="B502" s="4">
        <f t="shared" si="13"/>
        <v>500</v>
      </c>
      <c r="C502" s="24" t="s">
        <v>910</v>
      </c>
      <c r="D502" s="25" t="s">
        <v>911</v>
      </c>
      <c r="E502" s="24">
        <v>11</v>
      </c>
      <c r="F502" s="24" t="s">
        <v>871</v>
      </c>
      <c r="G502" s="24">
        <v>1284</v>
      </c>
      <c r="H502" s="21" t="s">
        <v>37</v>
      </c>
    </row>
    <row r="503" spans="1:8" ht="12.75">
      <c r="A503" s="26" t="s">
        <v>912</v>
      </c>
      <c r="B503" s="4">
        <f t="shared" si="13"/>
        <v>501</v>
      </c>
      <c r="C503" s="26" t="s">
        <v>876</v>
      </c>
      <c r="D503" s="27" t="s">
        <v>913</v>
      </c>
      <c r="E503" s="26">
        <v>11</v>
      </c>
      <c r="F503" s="26" t="s">
        <v>871</v>
      </c>
      <c r="G503" s="26">
        <f>FLOOR(G493/2,1)</f>
        <v>288</v>
      </c>
      <c r="H503" s="21" t="s">
        <v>37</v>
      </c>
    </row>
    <row r="504" spans="1:8" ht="12.75">
      <c r="A504" s="26" t="s">
        <v>914</v>
      </c>
      <c r="B504" s="4">
        <f t="shared" si="13"/>
        <v>502</v>
      </c>
      <c r="C504" s="26" t="s">
        <v>878</v>
      </c>
      <c r="D504" s="27" t="s">
        <v>915</v>
      </c>
      <c r="E504" s="26">
        <v>21</v>
      </c>
      <c r="F504" s="26" t="s">
        <v>871</v>
      </c>
      <c r="G504" s="26">
        <f>G503+MIN($G$70:$G$73)</f>
        <v>422</v>
      </c>
      <c r="H504" s="1" t="s">
        <v>21</v>
      </c>
    </row>
    <row r="505" spans="1:8" ht="12.75">
      <c r="A505" s="26" t="s">
        <v>916</v>
      </c>
      <c r="B505" s="4">
        <f t="shared" si="13"/>
        <v>503</v>
      </c>
      <c r="C505" s="26" t="s">
        <v>880</v>
      </c>
      <c r="D505" s="27" t="s">
        <v>917</v>
      </c>
      <c r="E505" s="26">
        <v>41</v>
      </c>
      <c r="F505" s="26" t="s">
        <v>871</v>
      </c>
      <c r="G505" s="26">
        <f>G503+MIN($G$78:$G$81)</f>
        <v>2269</v>
      </c>
      <c r="H505" s="22" t="s">
        <v>30</v>
      </c>
    </row>
    <row r="506" spans="1:8" ht="12.75">
      <c r="A506" s="26" t="s">
        <v>918</v>
      </c>
      <c r="B506" s="4">
        <f t="shared" si="13"/>
        <v>504</v>
      </c>
      <c r="C506" s="26" t="s">
        <v>876</v>
      </c>
      <c r="D506" s="27" t="s">
        <v>919</v>
      </c>
      <c r="E506" s="26">
        <v>11</v>
      </c>
      <c r="F506" s="26" t="s">
        <v>871</v>
      </c>
      <c r="G506" s="26">
        <f>G494/2</f>
        <v>286</v>
      </c>
      <c r="H506" s="21" t="s">
        <v>37</v>
      </c>
    </row>
    <row r="507" spans="1:8" ht="12.75">
      <c r="A507" s="26" t="s">
        <v>920</v>
      </c>
      <c r="B507" s="4">
        <f t="shared" si="13"/>
        <v>505</v>
      </c>
      <c r="C507" s="26" t="s">
        <v>878</v>
      </c>
      <c r="D507" s="27" t="s">
        <v>921</v>
      </c>
      <c r="E507" s="26">
        <v>21</v>
      </c>
      <c r="F507" s="26" t="s">
        <v>871</v>
      </c>
      <c r="G507" s="26">
        <f>G506+MIN($G$70:$G$73)</f>
        <v>420</v>
      </c>
      <c r="H507" s="1" t="s">
        <v>21</v>
      </c>
    </row>
    <row r="508" spans="1:8" ht="12.75">
      <c r="A508" s="26" t="s">
        <v>922</v>
      </c>
      <c r="B508" s="4">
        <f t="shared" si="13"/>
        <v>506</v>
      </c>
      <c r="C508" s="26" t="s">
        <v>880</v>
      </c>
      <c r="D508" s="27" t="s">
        <v>923</v>
      </c>
      <c r="E508" s="26">
        <v>41</v>
      </c>
      <c r="F508" s="26" t="s">
        <v>871</v>
      </c>
      <c r="G508" s="26">
        <f>G506+MIN($G$78:$G$81)</f>
        <v>2267</v>
      </c>
      <c r="H508" s="22" t="s">
        <v>30</v>
      </c>
    </row>
    <row r="509" spans="1:8" ht="12.75">
      <c r="A509" s="26" t="s">
        <v>924</v>
      </c>
      <c r="B509" s="4">
        <f t="shared" si="13"/>
        <v>507</v>
      </c>
      <c r="C509" s="26" t="s">
        <v>876</v>
      </c>
      <c r="D509" s="27" t="s">
        <v>925</v>
      </c>
      <c r="E509" s="26">
        <v>11</v>
      </c>
      <c r="F509" s="26" t="s">
        <v>871</v>
      </c>
      <c r="G509" s="26">
        <f>FLOOR(G495/2,1)</f>
        <v>317</v>
      </c>
      <c r="H509" s="21" t="s">
        <v>37</v>
      </c>
    </row>
    <row r="510" spans="1:8" ht="12.75">
      <c r="A510" s="26" t="s">
        <v>926</v>
      </c>
      <c r="B510" s="4">
        <f t="shared" si="13"/>
        <v>508</v>
      </c>
      <c r="C510" s="26" t="s">
        <v>878</v>
      </c>
      <c r="D510" s="27" t="s">
        <v>927</v>
      </c>
      <c r="E510" s="26">
        <v>21</v>
      </c>
      <c r="F510" s="26" t="s">
        <v>871</v>
      </c>
      <c r="G510" s="26">
        <f>G509+MIN($G$70:$G$73)</f>
        <v>451</v>
      </c>
      <c r="H510" s="1" t="s">
        <v>21</v>
      </c>
    </row>
    <row r="511" spans="1:8" ht="12.75">
      <c r="A511" s="26" t="s">
        <v>928</v>
      </c>
      <c r="B511" s="4">
        <f t="shared" si="13"/>
        <v>509</v>
      </c>
      <c r="C511" s="26" t="s">
        <v>880</v>
      </c>
      <c r="D511" s="27" t="s">
        <v>929</v>
      </c>
      <c r="E511" s="26">
        <v>41</v>
      </c>
      <c r="F511" s="26" t="s">
        <v>871</v>
      </c>
      <c r="G511" s="26">
        <f>G509+MIN($G$78:$G$81)</f>
        <v>2298</v>
      </c>
      <c r="H511" s="22" t="s">
        <v>30</v>
      </c>
    </row>
    <row r="512" spans="1:8" ht="12.75">
      <c r="A512" s="26" t="s">
        <v>930</v>
      </c>
      <c r="B512" s="4">
        <f t="shared" ref="B512:B560" si="19">ROW() - 2</f>
        <v>510</v>
      </c>
      <c r="C512" s="26" t="s">
        <v>876</v>
      </c>
      <c r="D512" s="27" t="s">
        <v>931</v>
      </c>
      <c r="E512" s="26">
        <v>11</v>
      </c>
      <c r="F512" s="26" t="s">
        <v>871</v>
      </c>
      <c r="G512" s="26">
        <f>G496/2</f>
        <v>352</v>
      </c>
      <c r="H512" s="21" t="s">
        <v>37</v>
      </c>
    </row>
    <row r="513" spans="1:8" ht="12.75">
      <c r="A513" s="26" t="s">
        <v>932</v>
      </c>
      <c r="B513" s="4">
        <f t="shared" si="19"/>
        <v>511</v>
      </c>
      <c r="C513" s="26" t="s">
        <v>878</v>
      </c>
      <c r="D513" s="27" t="s">
        <v>933</v>
      </c>
      <c r="E513" s="26">
        <v>21</v>
      </c>
      <c r="F513" s="26" t="s">
        <v>871</v>
      </c>
      <c r="G513" s="26">
        <f>G512+MIN($G$70:$G$73)</f>
        <v>486</v>
      </c>
      <c r="H513" s="1" t="s">
        <v>21</v>
      </c>
    </row>
    <row r="514" spans="1:8" ht="12.75">
      <c r="A514" s="26" t="s">
        <v>934</v>
      </c>
      <c r="B514" s="4">
        <f t="shared" si="19"/>
        <v>512</v>
      </c>
      <c r="C514" s="26" t="s">
        <v>880</v>
      </c>
      <c r="D514" s="27" t="s">
        <v>935</v>
      </c>
      <c r="E514" s="26">
        <v>41</v>
      </c>
      <c r="F514" s="26" t="s">
        <v>871</v>
      </c>
      <c r="G514" s="26">
        <f>G512+MIN($G$78:$G$81)</f>
        <v>2333</v>
      </c>
      <c r="H514" s="22" t="s">
        <v>30</v>
      </c>
    </row>
    <row r="515" spans="1:8" ht="12.75">
      <c r="A515" s="26" t="s">
        <v>936</v>
      </c>
      <c r="B515" s="4">
        <f t="shared" si="19"/>
        <v>513</v>
      </c>
      <c r="C515" s="26" t="s">
        <v>876</v>
      </c>
      <c r="D515" s="27" t="s">
        <v>937</v>
      </c>
      <c r="E515" s="26">
        <v>11</v>
      </c>
      <c r="F515" s="26" t="s">
        <v>871</v>
      </c>
      <c r="G515" s="26">
        <f>G497/2</f>
        <v>383</v>
      </c>
      <c r="H515" s="21" t="s">
        <v>37</v>
      </c>
    </row>
    <row r="516" spans="1:8" ht="12.75">
      <c r="A516" s="26" t="s">
        <v>938</v>
      </c>
      <c r="B516" s="4">
        <f t="shared" si="19"/>
        <v>514</v>
      </c>
      <c r="C516" s="26" t="s">
        <v>878</v>
      </c>
      <c r="D516" s="27" t="s">
        <v>939</v>
      </c>
      <c r="E516" s="26">
        <v>21</v>
      </c>
      <c r="F516" s="26" t="s">
        <v>871</v>
      </c>
      <c r="G516" s="26">
        <f>G515+MIN($G$70:$G$73)</f>
        <v>517</v>
      </c>
      <c r="H516" s="1" t="s">
        <v>21</v>
      </c>
    </row>
    <row r="517" spans="1:8" ht="12.75">
      <c r="A517" s="26" t="s">
        <v>940</v>
      </c>
      <c r="B517" s="4">
        <f t="shared" si="19"/>
        <v>515</v>
      </c>
      <c r="C517" s="26" t="s">
        <v>880</v>
      </c>
      <c r="D517" s="27" t="s">
        <v>941</v>
      </c>
      <c r="E517" s="26">
        <v>41</v>
      </c>
      <c r="F517" s="26" t="s">
        <v>871</v>
      </c>
      <c r="G517" s="26">
        <f>G515+MIN($G$78:$G$81)</f>
        <v>2364</v>
      </c>
      <c r="H517" s="22" t="s">
        <v>30</v>
      </c>
    </row>
    <row r="518" spans="1:8" ht="12.75">
      <c r="A518" s="26" t="s">
        <v>942</v>
      </c>
      <c r="B518" s="4">
        <f t="shared" si="19"/>
        <v>516</v>
      </c>
      <c r="C518" s="26" t="s">
        <v>876</v>
      </c>
      <c r="D518" s="27" t="s">
        <v>943</v>
      </c>
      <c r="E518" s="26">
        <v>11</v>
      </c>
      <c r="F518" s="26" t="s">
        <v>871</v>
      </c>
      <c r="G518" s="26">
        <f>FLOOR(G498/2,1)</f>
        <v>416</v>
      </c>
      <c r="H518" s="21" t="s">
        <v>37</v>
      </c>
    </row>
    <row r="519" spans="1:8" ht="12.75">
      <c r="A519" s="26" t="s">
        <v>944</v>
      </c>
      <c r="B519" s="4">
        <f t="shared" si="19"/>
        <v>517</v>
      </c>
      <c r="C519" s="26" t="s">
        <v>878</v>
      </c>
      <c r="D519" s="27" t="s">
        <v>945</v>
      </c>
      <c r="E519" s="26">
        <v>21</v>
      </c>
      <c r="F519" s="26" t="s">
        <v>871</v>
      </c>
      <c r="G519" s="26">
        <f>G518+MIN($G$70:$G$73)</f>
        <v>550</v>
      </c>
      <c r="H519" s="1" t="s">
        <v>21</v>
      </c>
    </row>
    <row r="520" spans="1:8" ht="12.75">
      <c r="A520" s="26" t="s">
        <v>946</v>
      </c>
      <c r="B520" s="4">
        <f t="shared" si="19"/>
        <v>518</v>
      </c>
      <c r="C520" s="26" t="s">
        <v>880</v>
      </c>
      <c r="D520" s="27" t="s">
        <v>947</v>
      </c>
      <c r="E520" s="26">
        <v>41</v>
      </c>
      <c r="F520" s="26" t="s">
        <v>871</v>
      </c>
      <c r="G520" s="26">
        <f>G518+MIN($G$78:$G$81)</f>
        <v>2397</v>
      </c>
      <c r="H520" s="22" t="s">
        <v>30</v>
      </c>
    </row>
    <row r="521" spans="1:8" ht="12.75">
      <c r="A521" s="26" t="s">
        <v>948</v>
      </c>
      <c r="B521" s="4">
        <f t="shared" si="19"/>
        <v>519</v>
      </c>
      <c r="C521" s="26" t="s">
        <v>876</v>
      </c>
      <c r="D521" s="27" t="s">
        <v>949</v>
      </c>
      <c r="E521" s="26">
        <v>11</v>
      </c>
      <c r="F521" s="26" t="s">
        <v>871</v>
      </c>
      <c r="G521" s="26">
        <f>G499/2</f>
        <v>480</v>
      </c>
      <c r="H521" s="21" t="s">
        <v>37</v>
      </c>
    </row>
    <row r="522" spans="1:8" ht="12.75">
      <c r="A522" s="26" t="s">
        <v>950</v>
      </c>
      <c r="B522" s="4">
        <f t="shared" si="19"/>
        <v>520</v>
      </c>
      <c r="C522" s="26" t="s">
        <v>878</v>
      </c>
      <c r="D522" s="27" t="s">
        <v>951</v>
      </c>
      <c r="E522" s="26">
        <v>21</v>
      </c>
      <c r="F522" s="26" t="s">
        <v>871</v>
      </c>
      <c r="G522" s="26">
        <f>G521+MIN($G$70:$G$73)</f>
        <v>614</v>
      </c>
      <c r="H522" s="1" t="s">
        <v>21</v>
      </c>
    </row>
    <row r="523" spans="1:8" ht="12.75">
      <c r="A523" s="26" t="s">
        <v>952</v>
      </c>
      <c r="B523" s="4">
        <f t="shared" si="19"/>
        <v>521</v>
      </c>
      <c r="C523" s="26" t="s">
        <v>880</v>
      </c>
      <c r="D523" s="27" t="s">
        <v>953</v>
      </c>
      <c r="E523" s="26">
        <v>41</v>
      </c>
      <c r="F523" s="26" t="s">
        <v>871</v>
      </c>
      <c r="G523" s="26">
        <f>G521+MIN($G$78:$G$81)</f>
        <v>2461</v>
      </c>
      <c r="H523" s="22" t="s">
        <v>30</v>
      </c>
    </row>
    <row r="524" spans="1:8" ht="12.75">
      <c r="A524" s="26" t="s">
        <v>954</v>
      </c>
      <c r="B524" s="4">
        <f t="shared" si="19"/>
        <v>522</v>
      </c>
      <c r="C524" s="26" t="s">
        <v>876</v>
      </c>
      <c r="D524" s="27" t="s">
        <v>955</v>
      </c>
      <c r="E524" s="26">
        <v>11</v>
      </c>
      <c r="F524" s="26" t="s">
        <v>871</v>
      </c>
      <c r="G524" s="26">
        <f>G500/2</f>
        <v>525</v>
      </c>
      <c r="H524" s="21" t="s">
        <v>37</v>
      </c>
    </row>
    <row r="525" spans="1:8" ht="12.75">
      <c r="A525" s="26" t="s">
        <v>956</v>
      </c>
      <c r="B525" s="4">
        <f t="shared" si="19"/>
        <v>523</v>
      </c>
      <c r="C525" s="26" t="s">
        <v>878</v>
      </c>
      <c r="D525" s="27" t="s">
        <v>957</v>
      </c>
      <c r="E525" s="26">
        <v>21</v>
      </c>
      <c r="F525" s="26" t="s">
        <v>871</v>
      </c>
      <c r="G525" s="26">
        <f>G524+MIN($G$70:$G$73)</f>
        <v>659</v>
      </c>
      <c r="H525" s="1" t="s">
        <v>21</v>
      </c>
    </row>
    <row r="526" spans="1:8" ht="12.75">
      <c r="A526" s="26" t="s">
        <v>958</v>
      </c>
      <c r="B526" s="4">
        <f t="shared" si="19"/>
        <v>524</v>
      </c>
      <c r="C526" s="26" t="s">
        <v>880</v>
      </c>
      <c r="D526" s="27" t="s">
        <v>959</v>
      </c>
      <c r="E526" s="26">
        <v>41</v>
      </c>
      <c r="F526" s="26" t="s">
        <v>871</v>
      </c>
      <c r="G526" s="26">
        <f>G524+MIN($G$78:$G$81)</f>
        <v>2506</v>
      </c>
      <c r="H526" s="22" t="s">
        <v>30</v>
      </c>
    </row>
    <row r="527" spans="1:8" ht="12.75">
      <c r="A527" s="26" t="s">
        <v>960</v>
      </c>
      <c r="B527" s="4">
        <f t="shared" si="19"/>
        <v>525</v>
      </c>
      <c r="C527" s="26" t="s">
        <v>876</v>
      </c>
      <c r="D527" s="27" t="s">
        <v>961</v>
      </c>
      <c r="E527" s="26">
        <v>11</v>
      </c>
      <c r="F527" s="26" t="s">
        <v>871</v>
      </c>
      <c r="G527" s="26">
        <f>FLOOR(G501/2,1)</f>
        <v>575</v>
      </c>
      <c r="H527" s="21" t="s">
        <v>37</v>
      </c>
    </row>
    <row r="528" spans="1:8" ht="12.75">
      <c r="A528" s="26" t="s">
        <v>962</v>
      </c>
      <c r="B528" s="4">
        <f t="shared" si="19"/>
        <v>526</v>
      </c>
      <c r="C528" s="26" t="s">
        <v>878</v>
      </c>
      <c r="D528" s="27" t="s">
        <v>963</v>
      </c>
      <c r="E528" s="26">
        <v>21</v>
      </c>
      <c r="F528" s="26" t="s">
        <v>871</v>
      </c>
      <c r="G528" s="26">
        <f>G527+MIN($G$70:$G$73)</f>
        <v>709</v>
      </c>
      <c r="H528" s="1" t="s">
        <v>21</v>
      </c>
    </row>
    <row r="529" spans="1:8" ht="12.75">
      <c r="A529" s="26" t="s">
        <v>964</v>
      </c>
      <c r="B529" s="4">
        <f t="shared" si="19"/>
        <v>527</v>
      </c>
      <c r="C529" s="26" t="s">
        <v>880</v>
      </c>
      <c r="D529" s="27" t="s">
        <v>965</v>
      </c>
      <c r="E529" s="26">
        <v>41</v>
      </c>
      <c r="F529" s="26" t="s">
        <v>871</v>
      </c>
      <c r="G529" s="26">
        <f>G527+MIN($G$78:$G$81)</f>
        <v>2556</v>
      </c>
      <c r="H529" s="22" t="s">
        <v>30</v>
      </c>
    </row>
    <row r="530" spans="1:8" ht="12.75">
      <c r="A530" s="26" t="s">
        <v>966</v>
      </c>
      <c r="B530" s="4">
        <f t="shared" si="19"/>
        <v>528</v>
      </c>
      <c r="C530" s="26" t="s">
        <v>876</v>
      </c>
      <c r="D530" s="27" t="s">
        <v>967</v>
      </c>
      <c r="E530" s="26">
        <v>11</v>
      </c>
      <c r="F530" s="26" t="s">
        <v>871</v>
      </c>
      <c r="G530" s="26">
        <f>G502/2</f>
        <v>642</v>
      </c>
      <c r="H530" s="21" t="s">
        <v>37</v>
      </c>
    </row>
    <row r="531" spans="1:8" ht="12.75">
      <c r="A531" s="26" t="s">
        <v>968</v>
      </c>
      <c r="B531" s="4">
        <f t="shared" si="19"/>
        <v>529</v>
      </c>
      <c r="C531" s="26" t="s">
        <v>878</v>
      </c>
      <c r="D531" s="27" t="s">
        <v>969</v>
      </c>
      <c r="E531" s="26">
        <v>21</v>
      </c>
      <c r="F531" s="26" t="s">
        <v>871</v>
      </c>
      <c r="G531" s="26">
        <f>G530+MIN($G$70:$G$73)</f>
        <v>776</v>
      </c>
      <c r="H531" s="1" t="s">
        <v>21</v>
      </c>
    </row>
    <row r="532" spans="1:8" ht="12.75">
      <c r="A532" s="26" t="s">
        <v>970</v>
      </c>
      <c r="B532" s="4">
        <f t="shared" si="19"/>
        <v>530</v>
      </c>
      <c r="C532" s="26" t="s">
        <v>880</v>
      </c>
      <c r="D532" s="27" t="s">
        <v>971</v>
      </c>
      <c r="E532" s="26">
        <v>41</v>
      </c>
      <c r="F532" s="26" t="s">
        <v>871</v>
      </c>
      <c r="G532" s="26">
        <f>G530+MIN($G$78:$G$81)</f>
        <v>2623</v>
      </c>
      <c r="H532" s="22" t="s">
        <v>30</v>
      </c>
    </row>
    <row r="533" spans="1:8" ht="12.75">
      <c r="A533" s="28" t="s">
        <v>884</v>
      </c>
      <c r="B533" s="4">
        <f t="shared" si="19"/>
        <v>531</v>
      </c>
      <c r="C533" s="28" t="s">
        <v>972</v>
      </c>
      <c r="D533" s="29" t="s">
        <v>973</v>
      </c>
      <c r="E533" s="28">
        <v>1</v>
      </c>
      <c r="F533" s="28" t="s">
        <v>974</v>
      </c>
      <c r="G533" s="28">
        <v>1</v>
      </c>
      <c r="H533" s="1" t="s">
        <v>12</v>
      </c>
    </row>
    <row r="534" spans="1:8" ht="12.75">
      <c r="A534" s="28" t="s">
        <v>896</v>
      </c>
      <c r="B534" s="4">
        <f t="shared" si="19"/>
        <v>532</v>
      </c>
      <c r="C534" s="28" t="s">
        <v>972</v>
      </c>
      <c r="D534" s="29" t="s">
        <v>975</v>
      </c>
      <c r="E534" s="28">
        <v>1</v>
      </c>
      <c r="F534" s="28" t="s">
        <v>974</v>
      </c>
      <c r="G534" s="28">
        <v>1</v>
      </c>
      <c r="H534" s="1" t="s">
        <v>12</v>
      </c>
    </row>
    <row r="535" spans="1:8" ht="12.75">
      <c r="A535" s="28" t="s">
        <v>899</v>
      </c>
      <c r="B535" s="4">
        <f t="shared" si="19"/>
        <v>533</v>
      </c>
      <c r="C535" s="28" t="s">
        <v>972</v>
      </c>
      <c r="D535" s="29" t="s">
        <v>976</v>
      </c>
      <c r="E535" s="28">
        <v>1</v>
      </c>
      <c r="F535" s="28" t="s">
        <v>974</v>
      </c>
      <c r="G535" s="28">
        <v>1</v>
      </c>
      <c r="H535" s="1" t="s">
        <v>12</v>
      </c>
    </row>
    <row r="536" spans="1:8" ht="12.75">
      <c r="A536" s="28" t="s">
        <v>887</v>
      </c>
      <c r="B536" s="4">
        <f t="shared" si="19"/>
        <v>534</v>
      </c>
      <c r="C536" s="28" t="s">
        <v>972</v>
      </c>
      <c r="D536" s="29" t="s">
        <v>977</v>
      </c>
      <c r="E536" s="28">
        <v>1</v>
      </c>
      <c r="F536" s="28" t="s">
        <v>974</v>
      </c>
      <c r="G536" s="28">
        <v>1</v>
      </c>
      <c r="H536" s="1" t="s">
        <v>12</v>
      </c>
    </row>
    <row r="537" spans="1:8" ht="12.75">
      <c r="A537" s="28" t="s">
        <v>893</v>
      </c>
      <c r="B537" s="4">
        <f t="shared" si="19"/>
        <v>535</v>
      </c>
      <c r="C537" s="28" t="s">
        <v>972</v>
      </c>
      <c r="D537" s="29" t="s">
        <v>978</v>
      </c>
      <c r="E537" s="28">
        <v>1</v>
      </c>
      <c r="F537" s="28" t="s">
        <v>974</v>
      </c>
      <c r="G537" s="28">
        <v>1</v>
      </c>
      <c r="H537" s="1" t="s">
        <v>12</v>
      </c>
    </row>
    <row r="538" spans="1:8" ht="12.75">
      <c r="A538" s="28" t="s">
        <v>890</v>
      </c>
      <c r="B538" s="4">
        <f t="shared" si="19"/>
        <v>536</v>
      </c>
      <c r="C538" s="28" t="s">
        <v>972</v>
      </c>
      <c r="D538" s="29" t="s">
        <v>979</v>
      </c>
      <c r="E538" s="28">
        <v>1</v>
      </c>
      <c r="F538" s="28" t="s">
        <v>974</v>
      </c>
      <c r="G538" s="28">
        <v>1</v>
      </c>
      <c r="H538" s="1" t="s">
        <v>12</v>
      </c>
    </row>
    <row r="539" spans="1:8" ht="12.75">
      <c r="A539" s="28" t="s">
        <v>905</v>
      </c>
      <c r="B539" s="4">
        <f t="shared" si="19"/>
        <v>537</v>
      </c>
      <c r="C539" s="28" t="s">
        <v>972</v>
      </c>
      <c r="D539" s="29" t="s">
        <v>980</v>
      </c>
      <c r="E539" s="28">
        <v>1</v>
      </c>
      <c r="F539" s="28" t="s">
        <v>974</v>
      </c>
      <c r="G539" s="28">
        <v>1</v>
      </c>
      <c r="H539" s="1" t="s">
        <v>12</v>
      </c>
    </row>
    <row r="540" spans="1:8" ht="12.75">
      <c r="A540" s="28" t="s">
        <v>902</v>
      </c>
      <c r="B540" s="4">
        <f t="shared" si="19"/>
        <v>538</v>
      </c>
      <c r="C540" s="28" t="s">
        <v>972</v>
      </c>
      <c r="D540" s="29" t="s">
        <v>981</v>
      </c>
      <c r="E540" s="28">
        <v>1</v>
      </c>
      <c r="F540" s="28" t="s">
        <v>974</v>
      </c>
      <c r="G540" s="28">
        <v>1</v>
      </c>
      <c r="H540" s="1" t="s">
        <v>12</v>
      </c>
    </row>
    <row r="541" spans="1:8" ht="12.75">
      <c r="A541" s="28" t="s">
        <v>982</v>
      </c>
      <c r="B541" s="4">
        <f t="shared" si="19"/>
        <v>539</v>
      </c>
      <c r="C541" s="28" t="s">
        <v>983</v>
      </c>
      <c r="D541" s="29" t="s">
        <v>984</v>
      </c>
      <c r="E541" s="28">
        <v>1</v>
      </c>
      <c r="F541" s="28" t="s">
        <v>974</v>
      </c>
      <c r="G541" s="28">
        <v>1</v>
      </c>
      <c r="H541" s="1" t="s">
        <v>21</v>
      </c>
    </row>
    <row r="542" spans="1:8" ht="12.75">
      <c r="A542" s="28" t="s">
        <v>985</v>
      </c>
      <c r="B542" s="4">
        <f t="shared" si="19"/>
        <v>540</v>
      </c>
      <c r="C542" s="28" t="s">
        <v>986</v>
      </c>
      <c r="D542" s="29" t="s">
        <v>984</v>
      </c>
      <c r="E542" s="28">
        <v>1</v>
      </c>
      <c r="F542" s="28" t="s">
        <v>974</v>
      </c>
      <c r="G542" s="28">
        <v>1</v>
      </c>
      <c r="H542" s="1" t="s">
        <v>21</v>
      </c>
    </row>
    <row r="543" spans="1:8" ht="12.75">
      <c r="A543" s="28" t="s">
        <v>987</v>
      </c>
      <c r="B543" s="4">
        <f t="shared" si="19"/>
        <v>541</v>
      </c>
      <c r="C543" s="28" t="s">
        <v>988</v>
      </c>
      <c r="D543" s="29" t="s">
        <v>984</v>
      </c>
      <c r="E543" s="28">
        <v>1</v>
      </c>
      <c r="F543" s="28" t="s">
        <v>974</v>
      </c>
      <c r="G543" s="28">
        <v>1</v>
      </c>
      <c r="H543" s="1" t="s">
        <v>21</v>
      </c>
    </row>
    <row r="544" spans="1:8" ht="12.75">
      <c r="A544" s="28" t="s">
        <v>989</v>
      </c>
      <c r="B544" s="4">
        <f t="shared" si="19"/>
        <v>542</v>
      </c>
      <c r="C544" s="28" t="s">
        <v>990</v>
      </c>
      <c r="D544" s="29" t="s">
        <v>984</v>
      </c>
      <c r="E544" s="28">
        <v>1</v>
      </c>
      <c r="F544" s="28" t="s">
        <v>974</v>
      </c>
      <c r="G544" s="28">
        <v>1</v>
      </c>
      <c r="H544" s="1" t="s">
        <v>21</v>
      </c>
    </row>
    <row r="545" spans="1:8" ht="12.75">
      <c r="A545" s="28" t="s">
        <v>648</v>
      </c>
      <c r="B545" s="4">
        <f t="shared" si="19"/>
        <v>543</v>
      </c>
      <c r="C545" s="28" t="s">
        <v>991</v>
      </c>
      <c r="D545" s="29" t="s">
        <v>992</v>
      </c>
      <c r="E545" s="28">
        <v>1</v>
      </c>
      <c r="F545" s="28" t="s">
        <v>974</v>
      </c>
      <c r="G545" s="28">
        <v>1</v>
      </c>
      <c r="H545" s="22" t="s">
        <v>30</v>
      </c>
    </row>
    <row r="546" spans="1:8" ht="12.75">
      <c r="A546" s="28" t="s">
        <v>650</v>
      </c>
      <c r="B546" s="4">
        <f t="shared" si="19"/>
        <v>544</v>
      </c>
      <c r="C546" s="28" t="s">
        <v>991</v>
      </c>
      <c r="D546" s="29" t="s">
        <v>993</v>
      </c>
      <c r="E546" s="28">
        <v>1</v>
      </c>
      <c r="F546" s="28" t="s">
        <v>974</v>
      </c>
      <c r="G546" s="28">
        <v>1</v>
      </c>
      <c r="H546" s="22" t="s">
        <v>30</v>
      </c>
    </row>
    <row r="547" spans="1:8" ht="12.75">
      <c r="A547" s="28" t="s">
        <v>768</v>
      </c>
      <c r="B547" s="4">
        <f t="shared" si="19"/>
        <v>545</v>
      </c>
      <c r="C547" s="28" t="s">
        <v>991</v>
      </c>
      <c r="D547" s="29" t="s">
        <v>994</v>
      </c>
      <c r="E547" s="28">
        <v>1</v>
      </c>
      <c r="F547" s="28" t="s">
        <v>974</v>
      </c>
      <c r="G547" s="28">
        <v>1</v>
      </c>
      <c r="H547" s="22" t="s">
        <v>30</v>
      </c>
    </row>
    <row r="548" spans="1:8" ht="12.75">
      <c r="A548" s="28" t="s">
        <v>774</v>
      </c>
      <c r="B548" s="4">
        <f t="shared" si="19"/>
        <v>546</v>
      </c>
      <c r="C548" s="28" t="s">
        <v>991</v>
      </c>
      <c r="D548" s="29" t="s">
        <v>995</v>
      </c>
      <c r="E548" s="28">
        <v>1</v>
      </c>
      <c r="F548" s="28" t="s">
        <v>974</v>
      </c>
      <c r="G548" s="28">
        <v>1</v>
      </c>
      <c r="H548" s="22" t="s">
        <v>30</v>
      </c>
    </row>
    <row r="549" spans="1:8" ht="12.75">
      <c r="A549" s="28" t="s">
        <v>786</v>
      </c>
      <c r="B549" s="4">
        <f t="shared" si="19"/>
        <v>547</v>
      </c>
      <c r="C549" s="28" t="s">
        <v>991</v>
      </c>
      <c r="D549" s="29" t="s">
        <v>996</v>
      </c>
      <c r="E549" s="28">
        <v>1</v>
      </c>
      <c r="F549" s="28" t="s">
        <v>974</v>
      </c>
      <c r="G549" s="28">
        <v>1</v>
      </c>
      <c r="H549" s="22" t="s">
        <v>30</v>
      </c>
    </row>
    <row r="550" spans="1:8" ht="12.75">
      <c r="A550" s="28" t="s">
        <v>780</v>
      </c>
      <c r="B550" s="4">
        <f t="shared" si="19"/>
        <v>548</v>
      </c>
      <c r="C550" s="28" t="s">
        <v>991</v>
      </c>
      <c r="D550" s="29" t="s">
        <v>997</v>
      </c>
      <c r="E550" s="28">
        <v>1</v>
      </c>
      <c r="F550" s="28" t="s">
        <v>974</v>
      </c>
      <c r="G550" s="28">
        <v>1</v>
      </c>
      <c r="H550" s="22" t="s">
        <v>30</v>
      </c>
    </row>
    <row r="551" spans="1:8" ht="12.75">
      <c r="A551" s="28" t="s">
        <v>656</v>
      </c>
      <c r="B551" s="4">
        <f t="shared" si="19"/>
        <v>549</v>
      </c>
      <c r="C551" s="28" t="s">
        <v>991</v>
      </c>
      <c r="D551" s="29" t="s">
        <v>998</v>
      </c>
      <c r="E551" s="28">
        <v>1</v>
      </c>
      <c r="F551" s="28" t="s">
        <v>974</v>
      </c>
      <c r="G551" s="28">
        <v>1</v>
      </c>
      <c r="H551" s="22" t="s">
        <v>30</v>
      </c>
    </row>
    <row r="552" spans="1:8" ht="12.75">
      <c r="A552" s="28" t="s">
        <v>658</v>
      </c>
      <c r="B552" s="4">
        <f t="shared" si="19"/>
        <v>550</v>
      </c>
      <c r="C552" s="28" t="s">
        <v>991</v>
      </c>
      <c r="D552" s="29" t="s">
        <v>999</v>
      </c>
      <c r="E552" s="28">
        <v>1</v>
      </c>
      <c r="F552" s="28" t="s">
        <v>974</v>
      </c>
      <c r="G552" s="28">
        <v>1</v>
      </c>
      <c r="H552" s="22" t="s">
        <v>30</v>
      </c>
    </row>
    <row r="553" spans="1:8" ht="12.75">
      <c r="A553" s="28" t="s">
        <v>802</v>
      </c>
      <c r="B553" s="4">
        <f t="shared" si="19"/>
        <v>551</v>
      </c>
      <c r="C553" s="28" t="s">
        <v>991</v>
      </c>
      <c r="D553" s="29" t="s">
        <v>1000</v>
      </c>
      <c r="E553" s="28">
        <v>1</v>
      </c>
      <c r="F553" s="28" t="s">
        <v>974</v>
      </c>
      <c r="G553" s="28">
        <v>1</v>
      </c>
      <c r="H553" s="22" t="s">
        <v>30</v>
      </c>
    </row>
    <row r="554" spans="1:8" ht="12.75">
      <c r="A554" s="28" t="s">
        <v>808</v>
      </c>
      <c r="B554" s="4">
        <f t="shared" si="19"/>
        <v>552</v>
      </c>
      <c r="C554" s="28" t="s">
        <v>991</v>
      </c>
      <c r="D554" s="29" t="s">
        <v>1001</v>
      </c>
      <c r="E554" s="28">
        <v>1</v>
      </c>
      <c r="F554" s="28" t="s">
        <v>974</v>
      </c>
      <c r="G554" s="28">
        <v>1</v>
      </c>
      <c r="H554" s="22" t="s">
        <v>30</v>
      </c>
    </row>
    <row r="555" spans="1:8" ht="12.75">
      <c r="A555" s="28" t="s">
        <v>1002</v>
      </c>
      <c r="B555" s="4">
        <f t="shared" si="19"/>
        <v>553</v>
      </c>
      <c r="C555" s="28" t="s">
        <v>991</v>
      </c>
      <c r="D555" s="29" t="s">
        <v>1003</v>
      </c>
      <c r="E555" s="28">
        <v>1</v>
      </c>
      <c r="F555" s="28" t="s">
        <v>974</v>
      </c>
      <c r="G555" s="28">
        <v>1</v>
      </c>
      <c r="H555" s="22" t="s">
        <v>30</v>
      </c>
    </row>
    <row r="556" spans="1:8" ht="12.75">
      <c r="A556" s="28" t="s">
        <v>820</v>
      </c>
      <c r="B556" s="4">
        <f t="shared" si="19"/>
        <v>554</v>
      </c>
      <c r="C556" s="28" t="s">
        <v>991</v>
      </c>
      <c r="D556" s="29" t="s">
        <v>1004</v>
      </c>
      <c r="E556" s="28">
        <v>1</v>
      </c>
      <c r="F556" s="28" t="s">
        <v>974</v>
      </c>
      <c r="G556" s="28">
        <v>1</v>
      </c>
      <c r="H556" s="22" t="s">
        <v>30</v>
      </c>
    </row>
    <row r="557" spans="1:8" ht="12.75">
      <c r="A557" s="28" t="s">
        <v>826</v>
      </c>
      <c r="B557" s="4">
        <f t="shared" si="19"/>
        <v>555</v>
      </c>
      <c r="C557" s="28" t="s">
        <v>991</v>
      </c>
      <c r="D557" s="29" t="s">
        <v>1005</v>
      </c>
      <c r="E557" s="28">
        <v>1</v>
      </c>
      <c r="F557" s="28" t="s">
        <v>974</v>
      </c>
      <c r="G557" s="28">
        <v>1</v>
      </c>
      <c r="H557" s="22" t="s">
        <v>30</v>
      </c>
    </row>
    <row r="558" spans="1:8" ht="12.75">
      <c r="A558" s="28" t="s">
        <v>666</v>
      </c>
      <c r="B558" s="4">
        <f t="shared" si="19"/>
        <v>556</v>
      </c>
      <c r="C558" s="28" t="s">
        <v>991</v>
      </c>
      <c r="D558" s="29" t="s">
        <v>1006</v>
      </c>
      <c r="E558" s="28">
        <v>1</v>
      </c>
      <c r="F558" s="28" t="s">
        <v>974</v>
      </c>
      <c r="G558" s="28">
        <v>1</v>
      </c>
      <c r="H558" s="22" t="s">
        <v>30</v>
      </c>
    </row>
    <row r="559" spans="1:8" ht="12.75">
      <c r="A559" s="28" t="s">
        <v>668</v>
      </c>
      <c r="B559" s="4">
        <f t="shared" si="19"/>
        <v>557</v>
      </c>
      <c r="C559" s="28" t="s">
        <v>991</v>
      </c>
      <c r="D559" s="29" t="s">
        <v>1007</v>
      </c>
      <c r="E559" s="28">
        <v>1</v>
      </c>
      <c r="F559" s="28" t="s">
        <v>974</v>
      </c>
      <c r="G559" s="28">
        <v>1</v>
      </c>
      <c r="H559" s="22" t="s">
        <v>30</v>
      </c>
    </row>
    <row r="560" spans="1:8" ht="12.75">
      <c r="A560" s="28" t="s">
        <v>670</v>
      </c>
      <c r="B560" s="4">
        <f t="shared" si="19"/>
        <v>558</v>
      </c>
      <c r="C560" s="28" t="s">
        <v>991</v>
      </c>
      <c r="D560" s="29" t="s">
        <v>1008</v>
      </c>
      <c r="E560" s="28">
        <v>1</v>
      </c>
      <c r="F560" s="28" t="s">
        <v>974</v>
      </c>
      <c r="G560" s="28">
        <v>1</v>
      </c>
      <c r="H560" s="22" t="s">
        <v>30</v>
      </c>
    </row>
    <row r="561" spans="3:4" ht="12.75">
      <c r="C561" s="30"/>
      <c r="D561" s="31"/>
    </row>
    <row r="562" spans="3:4" ht="12.75">
      <c r="C562" s="30"/>
      <c r="D562" s="31"/>
    </row>
    <row r="563" spans="3:4" ht="12.75">
      <c r="C563" s="30"/>
      <c r="D563" s="31"/>
    </row>
    <row r="564" spans="3:4" ht="12.75">
      <c r="C564" s="30"/>
      <c r="D564" s="31"/>
    </row>
    <row r="565" spans="3:4" ht="12.75">
      <c r="C565" s="30"/>
      <c r="D565" s="31"/>
    </row>
    <row r="566" spans="3:4" ht="12.75">
      <c r="C566" s="30"/>
      <c r="D566" s="31"/>
    </row>
    <row r="567" spans="3:4" ht="12.75">
      <c r="C567" s="30"/>
      <c r="D567" s="31"/>
    </row>
    <row r="568" spans="3:4" ht="12.75">
      <c r="C568" s="30"/>
      <c r="D568" s="31"/>
    </row>
    <row r="569" spans="3:4" ht="12.75">
      <c r="C569" s="30"/>
      <c r="D569" s="31"/>
    </row>
    <row r="570" spans="3:4" ht="12.75">
      <c r="C570" s="30"/>
      <c r="D570" s="31"/>
    </row>
    <row r="571" spans="3:4" ht="12.75">
      <c r="C571" s="30"/>
      <c r="D571" s="31"/>
    </row>
    <row r="572" spans="3:4" ht="12.75">
      <c r="C572" s="30"/>
      <c r="D572" s="31"/>
    </row>
    <row r="573" spans="3:4" ht="12.75">
      <c r="C573" s="30"/>
      <c r="D573" s="31"/>
    </row>
    <row r="574" spans="3:4" ht="12.75">
      <c r="C574" s="30"/>
      <c r="D574" s="31"/>
    </row>
    <row r="575" spans="3:4" ht="12.75">
      <c r="C575" s="30"/>
      <c r="D575" s="31"/>
    </row>
    <row r="576" spans="3:4" ht="12.75">
      <c r="C576" s="30"/>
      <c r="D576" s="31"/>
    </row>
    <row r="577" spans="1:8" ht="12.75">
      <c r="C577" s="30"/>
      <c r="D577" s="31"/>
    </row>
    <row r="578" spans="1:8" ht="12.75">
      <c r="C578" s="30"/>
      <c r="D578" s="31"/>
    </row>
    <row r="579" spans="1:8" ht="12.75">
      <c r="C579" s="30"/>
      <c r="D579" s="31"/>
    </row>
    <row r="580" spans="1:8" ht="12.75">
      <c r="C580" s="30"/>
      <c r="D580" s="31"/>
    </row>
    <row r="581" spans="1:8" ht="12.75">
      <c r="C581" s="30"/>
      <c r="D581" s="31"/>
    </row>
    <row r="582" spans="1:8" ht="12.75">
      <c r="C582" s="30"/>
      <c r="D582" s="31"/>
    </row>
    <row r="583" spans="1:8" ht="12.75">
      <c r="C583" s="30"/>
      <c r="D583" s="31"/>
    </row>
    <row r="584" spans="1:8" ht="12.75">
      <c r="C584" s="30"/>
      <c r="D584" s="31"/>
    </row>
    <row r="585" spans="1:8" ht="12.75">
      <c r="A585" s="1"/>
      <c r="B585" s="1"/>
      <c r="C585" s="1"/>
      <c r="D585" s="2"/>
      <c r="E585" s="1"/>
      <c r="F585" s="1"/>
      <c r="G585" s="1"/>
      <c r="H585" s="1"/>
    </row>
    <row r="586" spans="1:8" ht="12.75">
      <c r="A586" s="1"/>
      <c r="B586" s="1"/>
      <c r="C586" s="1"/>
      <c r="D586" s="2"/>
      <c r="E586" s="1"/>
      <c r="F586" s="1"/>
      <c r="G586" s="1"/>
      <c r="H586" s="1"/>
    </row>
    <row r="587" spans="1:8" ht="12.75">
      <c r="A587" s="1"/>
      <c r="B587" s="1"/>
      <c r="C587" s="1"/>
      <c r="D587" s="2"/>
      <c r="E587" s="1"/>
      <c r="F587" s="1"/>
      <c r="G587" s="1"/>
      <c r="H587" s="1"/>
    </row>
    <row r="588" spans="1:8" ht="12.75">
      <c r="A588" s="1"/>
      <c r="B588" s="1"/>
      <c r="C588" s="1"/>
      <c r="D588" s="2"/>
      <c r="E588" s="1"/>
      <c r="F588" s="1"/>
      <c r="G588" s="1"/>
      <c r="H588" s="1"/>
    </row>
    <row r="589" spans="1:8" ht="12.75">
      <c r="A589" s="1"/>
      <c r="B589" s="1"/>
      <c r="C589" s="1"/>
      <c r="D589" s="2"/>
      <c r="E589" s="1"/>
      <c r="F589" s="1"/>
      <c r="G589" s="1"/>
      <c r="H589" s="1"/>
    </row>
    <row r="590" spans="1:8" ht="12.75">
      <c r="A590" s="1"/>
      <c r="B590" s="1"/>
      <c r="C590" s="1"/>
      <c r="D590" s="2"/>
      <c r="E590" s="1"/>
      <c r="F590" s="1"/>
      <c r="G590" s="1"/>
      <c r="H590" s="1"/>
    </row>
    <row r="591" spans="1:8" ht="12.75">
      <c r="A591" s="1"/>
      <c r="B591" s="1"/>
      <c r="C591" s="1"/>
      <c r="D591" s="2"/>
      <c r="E591" s="1"/>
      <c r="F591" s="1"/>
      <c r="G591" s="1"/>
      <c r="H591" s="1"/>
    </row>
    <row r="592" spans="1:8" ht="12.75">
      <c r="A592" s="1"/>
      <c r="B592" s="1"/>
      <c r="C592" s="1"/>
      <c r="D592" s="2"/>
      <c r="E592" s="1"/>
      <c r="F592" s="1"/>
      <c r="G592" s="1"/>
      <c r="H592" s="1"/>
    </row>
    <row r="593" spans="1:8" ht="12.75">
      <c r="A593" s="1"/>
      <c r="B593" s="1"/>
      <c r="C593" s="1"/>
      <c r="D593" s="2"/>
      <c r="E593" s="1"/>
      <c r="F593" s="1"/>
      <c r="G593" s="1"/>
      <c r="H593" s="1"/>
    </row>
    <row r="594" spans="1:8" ht="12.75">
      <c r="A594" s="1"/>
      <c r="B594" s="1"/>
      <c r="C594" s="1"/>
      <c r="D594" s="2"/>
      <c r="E594" s="1"/>
      <c r="F594" s="1"/>
      <c r="G594" s="1"/>
      <c r="H594" s="1"/>
    </row>
    <row r="595" spans="1:8" ht="12.75">
      <c r="A595" s="1"/>
      <c r="B595" s="1"/>
      <c r="C595" s="1"/>
      <c r="D595" s="2"/>
      <c r="E595" s="1"/>
      <c r="F595" s="1"/>
      <c r="G595" s="1"/>
      <c r="H595" s="1"/>
    </row>
    <row r="596" spans="1:8" ht="12.75">
      <c r="A596" s="1"/>
      <c r="B596" s="1"/>
      <c r="C596" s="1"/>
      <c r="D596" s="2"/>
      <c r="E596" s="1"/>
      <c r="F596" s="1"/>
      <c r="G596" s="1"/>
      <c r="H596" s="1"/>
    </row>
    <row r="597" spans="1:8" ht="12.75">
      <c r="A597" s="1"/>
      <c r="B597" s="1"/>
      <c r="C597" s="1"/>
      <c r="D597" s="2"/>
      <c r="E597" s="1"/>
      <c r="F597" s="1"/>
      <c r="G597" s="1"/>
      <c r="H597" s="1"/>
    </row>
    <row r="598" spans="1:8" ht="12.75">
      <c r="A598" s="1"/>
      <c r="B598" s="1"/>
      <c r="C598" s="1"/>
      <c r="D598" s="2"/>
      <c r="E598" s="1"/>
      <c r="F598" s="1"/>
      <c r="G598" s="1"/>
      <c r="H598" s="1"/>
    </row>
    <row r="599" spans="1:8" ht="12.75">
      <c r="A599" s="1"/>
      <c r="B599" s="1"/>
      <c r="C599" s="1"/>
      <c r="D599" s="2"/>
      <c r="E599" s="1"/>
      <c r="F599" s="1"/>
      <c r="G599" s="1"/>
      <c r="H599" s="1"/>
    </row>
    <row r="600" spans="1:8" ht="12.75">
      <c r="A600" s="1"/>
      <c r="B600" s="1"/>
      <c r="C600" s="1"/>
      <c r="D600" s="2"/>
      <c r="E600" s="1"/>
      <c r="F600" s="1"/>
      <c r="G600" s="1"/>
      <c r="H600" s="1"/>
    </row>
    <row r="601" spans="1:8" ht="12.75">
      <c r="A601" s="1"/>
      <c r="B601" s="1"/>
      <c r="C601" s="1"/>
      <c r="D601" s="2"/>
      <c r="E601" s="1"/>
      <c r="F601" s="1"/>
      <c r="G601" s="1"/>
      <c r="H601" s="1"/>
    </row>
    <row r="602" spans="1:8" ht="12.75">
      <c r="A602" s="1"/>
      <c r="B602" s="1"/>
      <c r="C602" s="1"/>
      <c r="D602" s="2"/>
      <c r="E602" s="1"/>
      <c r="F602" s="1"/>
      <c r="G602" s="1"/>
      <c r="H602" s="1"/>
    </row>
    <row r="603" spans="1:8" ht="12.75">
      <c r="A603" s="1"/>
      <c r="B603" s="1"/>
      <c r="C603" s="1"/>
      <c r="D603" s="2"/>
      <c r="E603" s="1"/>
      <c r="F603" s="1"/>
      <c r="G603" s="1"/>
      <c r="H603" s="1"/>
    </row>
    <row r="604" spans="1:8" ht="12.75">
      <c r="A604" s="1"/>
      <c r="B604" s="1"/>
      <c r="C604" s="1"/>
      <c r="D604" s="2"/>
      <c r="E604" s="1"/>
      <c r="F604" s="1"/>
      <c r="G604" s="1"/>
      <c r="H604" s="1"/>
    </row>
    <row r="605" spans="1:8" ht="12.75">
      <c r="A605" s="1"/>
      <c r="B605" s="1"/>
      <c r="C605" s="1"/>
      <c r="D605" s="2"/>
      <c r="E605" s="1"/>
      <c r="F605" s="1"/>
      <c r="G605" s="1"/>
      <c r="H605" s="1"/>
    </row>
    <row r="606" spans="1:8" ht="12.75">
      <c r="A606" s="1"/>
      <c r="B606" s="1"/>
      <c r="C606" s="1"/>
      <c r="D606" s="2"/>
      <c r="E606" s="1"/>
      <c r="F606" s="1"/>
      <c r="G606" s="1"/>
      <c r="H606" s="1"/>
    </row>
    <row r="607" spans="1:8" ht="12.75">
      <c r="A607" s="1"/>
      <c r="B607" s="1"/>
      <c r="C607" s="1"/>
      <c r="D607" s="2"/>
      <c r="E607" s="1"/>
      <c r="F607" s="1"/>
      <c r="G607" s="1"/>
      <c r="H607" s="1"/>
    </row>
    <row r="608" spans="1:8" ht="12.75">
      <c r="A608" s="1"/>
      <c r="B608" s="1"/>
      <c r="C608" s="1"/>
      <c r="D608" s="2"/>
      <c r="E608" s="1"/>
      <c r="F608" s="1"/>
      <c r="G608" s="1"/>
      <c r="H608" s="1"/>
    </row>
    <row r="609" spans="1:8" ht="12.75">
      <c r="A609" s="1"/>
      <c r="B609" s="1"/>
      <c r="C609" s="1"/>
      <c r="D609" s="2"/>
      <c r="E609" s="1"/>
      <c r="F609" s="1"/>
      <c r="G609" s="1"/>
      <c r="H609" s="1"/>
    </row>
    <row r="610" spans="1:8" ht="12.75">
      <c r="A610" s="1"/>
      <c r="B610" s="1"/>
      <c r="C610" s="1"/>
      <c r="D610" s="2"/>
      <c r="E610" s="1"/>
      <c r="F610" s="1"/>
      <c r="G610" s="1"/>
      <c r="H610" s="1"/>
    </row>
    <row r="611" spans="1:8" ht="12.75">
      <c r="A611" s="1"/>
      <c r="B611" s="1"/>
      <c r="C611" s="1"/>
      <c r="D611" s="2"/>
      <c r="E611" s="1"/>
      <c r="F611" s="1"/>
      <c r="G611" s="1"/>
      <c r="H611" s="1"/>
    </row>
    <row r="612" spans="1:8" ht="12.75">
      <c r="A612" s="1"/>
      <c r="B612" s="1"/>
      <c r="C612" s="1"/>
      <c r="D612" s="2"/>
      <c r="E612" s="1"/>
      <c r="F612" s="1"/>
      <c r="G612" s="1"/>
      <c r="H612" s="1"/>
    </row>
    <row r="613" spans="1:8" ht="12.75">
      <c r="A613" s="1"/>
      <c r="B613" s="1"/>
      <c r="C613" s="1"/>
      <c r="D613" s="2"/>
      <c r="E613" s="1"/>
      <c r="F613" s="1"/>
      <c r="G613" s="1"/>
      <c r="H613" s="1"/>
    </row>
    <row r="614" spans="1:8" ht="12.75">
      <c r="A614" s="1"/>
      <c r="B614" s="1"/>
      <c r="C614" s="1"/>
      <c r="D614" s="2"/>
      <c r="E614" s="1"/>
      <c r="F614" s="1"/>
      <c r="G614" s="1"/>
      <c r="H614" s="1"/>
    </row>
    <row r="615" spans="1:8" ht="12.75">
      <c r="A615" s="1"/>
      <c r="B615" s="1"/>
      <c r="C615" s="1"/>
      <c r="D615" s="2"/>
      <c r="E615" s="1"/>
      <c r="F615" s="1"/>
      <c r="G615" s="1"/>
      <c r="H615" s="1"/>
    </row>
    <row r="616" spans="1:8" ht="12.75">
      <c r="A616" s="1"/>
      <c r="B616" s="1"/>
      <c r="C616" s="1"/>
      <c r="D616" s="2"/>
      <c r="E616" s="1"/>
      <c r="F616" s="1"/>
      <c r="G616" s="1"/>
      <c r="H616" s="1"/>
    </row>
    <row r="617" spans="1:8" ht="12.75">
      <c r="A617" s="1"/>
      <c r="B617" s="1"/>
      <c r="C617" s="1"/>
      <c r="D617" s="2"/>
      <c r="E617" s="1"/>
      <c r="F617" s="1"/>
      <c r="G617" s="1"/>
      <c r="H617" s="1"/>
    </row>
    <row r="618" spans="1:8" ht="12.75">
      <c r="A618" s="1"/>
      <c r="B618" s="1"/>
      <c r="C618" s="1"/>
      <c r="D618" s="2"/>
      <c r="E618" s="1"/>
      <c r="F618" s="1"/>
      <c r="G618" s="1"/>
      <c r="H618" s="1"/>
    </row>
    <row r="619" spans="1:8" ht="12.75">
      <c r="A619" s="1"/>
      <c r="B619" s="1"/>
      <c r="C619" s="1"/>
      <c r="D619" s="2"/>
      <c r="E619" s="1"/>
      <c r="F619" s="1"/>
      <c r="G619" s="1"/>
      <c r="H619" s="1"/>
    </row>
    <row r="620" spans="1:8" ht="12.75">
      <c r="A620" s="1"/>
      <c r="B620" s="1"/>
      <c r="C620" s="1"/>
      <c r="D620" s="2"/>
      <c r="E620" s="1"/>
      <c r="F620" s="1"/>
      <c r="G620" s="1"/>
      <c r="H620" s="1"/>
    </row>
    <row r="621" spans="1:8" ht="12.75">
      <c r="A621" s="1"/>
      <c r="B621" s="1"/>
      <c r="C621" s="1"/>
      <c r="D621" s="2"/>
      <c r="E621" s="1"/>
      <c r="F621" s="1"/>
      <c r="G621" s="1"/>
      <c r="H621" s="1"/>
    </row>
    <row r="622" spans="1:8" ht="12.75">
      <c r="A622" s="1"/>
      <c r="B622" s="1"/>
      <c r="C622" s="1"/>
      <c r="D622" s="2"/>
      <c r="E622" s="1"/>
      <c r="F622" s="1"/>
      <c r="G622" s="1"/>
      <c r="H622" s="1"/>
    </row>
    <row r="623" spans="1:8" ht="12.75">
      <c r="A623" s="1"/>
      <c r="B623" s="1"/>
      <c r="C623" s="1"/>
      <c r="D623" s="2"/>
      <c r="E623" s="1"/>
      <c r="F623" s="1"/>
      <c r="G623" s="1"/>
      <c r="H623" s="1"/>
    </row>
    <row r="624" spans="1:8" ht="12.75">
      <c r="A624" s="1"/>
      <c r="B624" s="1"/>
      <c r="C624" s="1"/>
      <c r="D624" s="2"/>
      <c r="E624" s="1"/>
      <c r="F624" s="1"/>
      <c r="G624" s="1"/>
      <c r="H624" s="1"/>
    </row>
    <row r="625" spans="1:8" ht="12.75">
      <c r="A625" s="1"/>
      <c r="B625" s="1"/>
      <c r="C625" s="1"/>
      <c r="D625" s="2"/>
      <c r="E625" s="1"/>
      <c r="F625" s="1"/>
      <c r="G625" s="1"/>
      <c r="H625" s="1"/>
    </row>
    <row r="626" spans="1:8" ht="12.75">
      <c r="A626" s="1"/>
      <c r="B626" s="1"/>
      <c r="C626" s="1"/>
      <c r="D626" s="2"/>
      <c r="E626" s="1"/>
      <c r="F626" s="1"/>
      <c r="G626" s="1"/>
      <c r="H626" s="1"/>
    </row>
    <row r="627" spans="1:8" ht="12.75">
      <c r="A627" s="1"/>
      <c r="B627" s="1"/>
      <c r="C627" s="1"/>
      <c r="D627" s="2"/>
      <c r="E627" s="1"/>
      <c r="F627" s="1"/>
      <c r="G627" s="1"/>
      <c r="H627" s="1"/>
    </row>
    <row r="628" spans="1:8" ht="12.75">
      <c r="A628" s="1"/>
      <c r="B628" s="1"/>
      <c r="C628" s="1"/>
      <c r="D628" s="2"/>
      <c r="E628" s="1"/>
      <c r="F628" s="1"/>
      <c r="G628" s="1"/>
      <c r="H628" s="1"/>
    </row>
    <row r="629" spans="1:8" ht="12.75">
      <c r="A629" s="1"/>
      <c r="B629" s="1"/>
      <c r="C629" s="1"/>
      <c r="D629" s="2"/>
      <c r="E629" s="1"/>
      <c r="F629" s="1"/>
      <c r="G629" s="1"/>
      <c r="H629" s="1"/>
    </row>
    <row r="630" spans="1:8" ht="12.75">
      <c r="A630" s="1"/>
      <c r="B630" s="1"/>
      <c r="C630" s="1"/>
      <c r="D630" s="2"/>
      <c r="E630" s="1"/>
      <c r="F630" s="1"/>
      <c r="G630" s="1"/>
      <c r="H630" s="1"/>
    </row>
    <row r="631" spans="1:8" ht="12.75">
      <c r="A631" s="1"/>
      <c r="B631" s="1"/>
      <c r="C631" s="1"/>
      <c r="D631" s="2"/>
      <c r="E631" s="1"/>
      <c r="F631" s="1"/>
      <c r="G631" s="1"/>
      <c r="H631" s="1"/>
    </row>
    <row r="632" spans="1:8" ht="12.75">
      <c r="A632" s="1"/>
      <c r="B632" s="1"/>
      <c r="C632" s="1"/>
      <c r="D632" s="2"/>
      <c r="E632" s="1"/>
      <c r="F632" s="1"/>
      <c r="G632" s="1"/>
      <c r="H632" s="1"/>
    </row>
    <row r="633" spans="1:8" ht="12.75">
      <c r="A633" s="1"/>
      <c r="B633" s="1"/>
      <c r="C633" s="1"/>
      <c r="D633" s="2"/>
      <c r="E633" s="1"/>
      <c r="F633" s="1"/>
      <c r="G633" s="1"/>
      <c r="H633" s="1"/>
    </row>
    <row r="634" spans="1:8" ht="12.75">
      <c r="A634" s="1"/>
      <c r="B634" s="1"/>
      <c r="C634" s="1"/>
      <c r="D634" s="2"/>
      <c r="E634" s="1"/>
      <c r="F634" s="1"/>
      <c r="G634" s="1"/>
      <c r="H634" s="1"/>
    </row>
    <row r="635" spans="1:8" ht="12.75">
      <c r="A635" s="1"/>
      <c r="B635" s="1"/>
      <c r="C635" s="1"/>
      <c r="D635" s="2"/>
      <c r="E635" s="1"/>
      <c r="F635" s="1"/>
      <c r="G635" s="1"/>
      <c r="H635" s="1"/>
    </row>
    <row r="636" spans="1:8" ht="12.75">
      <c r="A636" s="1"/>
      <c r="B636" s="1"/>
      <c r="C636" s="1"/>
      <c r="D636" s="2"/>
      <c r="E636" s="1"/>
      <c r="F636" s="1"/>
      <c r="G636" s="1"/>
      <c r="H636" s="1"/>
    </row>
    <row r="637" spans="1:8" ht="12.75">
      <c r="A637" s="1"/>
      <c r="B637" s="1"/>
      <c r="C637" s="1"/>
      <c r="D637" s="2"/>
      <c r="E637" s="1"/>
      <c r="F637" s="1"/>
      <c r="G637" s="1"/>
      <c r="H637" s="1"/>
    </row>
    <row r="638" spans="1:8" ht="12.75">
      <c r="A638" s="1"/>
      <c r="B638" s="1"/>
      <c r="C638" s="1"/>
      <c r="D638" s="2"/>
      <c r="E638" s="1"/>
      <c r="F638" s="1"/>
      <c r="G638" s="1"/>
      <c r="H638" s="1"/>
    </row>
    <row r="639" spans="1:8" ht="12.75">
      <c r="A639" s="1"/>
      <c r="B639" s="1"/>
      <c r="C639" s="1"/>
      <c r="D639" s="2"/>
      <c r="E639" s="1"/>
      <c r="F639" s="1"/>
      <c r="G639" s="1"/>
      <c r="H639" s="1"/>
    </row>
    <row r="640" spans="1:8" ht="12.75">
      <c r="A640" s="1"/>
      <c r="B640" s="1"/>
      <c r="C640" s="1"/>
      <c r="D640" s="2"/>
      <c r="E640" s="1"/>
      <c r="F640" s="1"/>
      <c r="G640" s="1"/>
      <c r="H640" s="1"/>
    </row>
    <row r="641" spans="1:8" ht="12.75">
      <c r="A641" s="1"/>
      <c r="B641" s="1"/>
      <c r="C641" s="1"/>
      <c r="D641" s="2"/>
      <c r="E641" s="1"/>
      <c r="F641" s="1"/>
      <c r="G641" s="1"/>
      <c r="H641" s="1"/>
    </row>
    <row r="642" spans="1:8" ht="12.75">
      <c r="A642" s="1"/>
      <c r="B642" s="1"/>
      <c r="C642" s="1"/>
      <c r="D642" s="2"/>
      <c r="E642" s="1"/>
      <c r="F642" s="1"/>
      <c r="G642" s="1"/>
      <c r="H642" s="1"/>
    </row>
    <row r="643" spans="1:8" ht="12.75">
      <c r="A643" s="1"/>
      <c r="B643" s="1"/>
      <c r="C643" s="1"/>
      <c r="D643" s="2"/>
      <c r="E643" s="1"/>
      <c r="F643" s="1"/>
      <c r="G643" s="1"/>
      <c r="H643" s="1"/>
    </row>
    <row r="644" spans="1:8" ht="12.75">
      <c r="A644" s="1"/>
      <c r="B644" s="1"/>
      <c r="C644" s="1"/>
      <c r="D644" s="2"/>
      <c r="E644" s="1"/>
      <c r="F644" s="1"/>
      <c r="G644" s="1"/>
      <c r="H644" s="1"/>
    </row>
    <row r="645" spans="1:8" ht="12.75">
      <c r="A645" s="1"/>
      <c r="B645" s="1"/>
      <c r="C645" s="1"/>
      <c r="D645" s="2"/>
      <c r="E645" s="1"/>
      <c r="F645" s="1"/>
      <c r="G645" s="1"/>
      <c r="H645" s="1"/>
    </row>
    <row r="646" spans="1:8" ht="12.75">
      <c r="A646" s="1"/>
      <c r="B646" s="1"/>
      <c r="C646" s="1"/>
      <c r="D646" s="2"/>
      <c r="E646" s="1"/>
      <c r="F646" s="1"/>
      <c r="G646" s="1"/>
      <c r="H646" s="1"/>
    </row>
    <row r="647" spans="1:8" ht="12.75">
      <c r="A647" s="1"/>
      <c r="B647" s="1"/>
      <c r="C647" s="1"/>
      <c r="D647" s="2"/>
      <c r="E647" s="1"/>
      <c r="F647" s="1"/>
      <c r="G647" s="1"/>
      <c r="H647" s="1"/>
    </row>
    <row r="648" spans="1:8" ht="12.75">
      <c r="A648" s="1"/>
      <c r="B648" s="1"/>
      <c r="C648" s="1"/>
      <c r="D648" s="2"/>
      <c r="E648" s="1"/>
      <c r="F648" s="1"/>
      <c r="G648" s="1"/>
      <c r="H648" s="1"/>
    </row>
    <row r="649" spans="1:8" ht="12.75">
      <c r="A649" s="1"/>
      <c r="B649" s="1"/>
      <c r="C649" s="1"/>
      <c r="D649" s="2"/>
      <c r="E649" s="1"/>
      <c r="F649" s="1"/>
      <c r="G649" s="1"/>
      <c r="H649" s="1"/>
    </row>
    <row r="650" spans="1:8" ht="12.75">
      <c r="A650" s="1"/>
      <c r="B650" s="1"/>
      <c r="C650" s="1"/>
      <c r="D650" s="2"/>
      <c r="E650" s="1"/>
      <c r="F650" s="1"/>
      <c r="G650" s="1"/>
      <c r="H650" s="1"/>
    </row>
    <row r="651" spans="1:8" ht="12.75">
      <c r="A651" s="1"/>
      <c r="B651" s="1"/>
      <c r="C651" s="1"/>
      <c r="D651" s="2"/>
      <c r="E651" s="1"/>
      <c r="F651" s="1"/>
      <c r="G651" s="1"/>
      <c r="H651" s="1"/>
    </row>
    <row r="652" spans="1:8" ht="12.75">
      <c r="A652" s="1"/>
      <c r="B652" s="1"/>
      <c r="C652" s="1"/>
      <c r="D652" s="2"/>
      <c r="E652" s="1"/>
      <c r="F652" s="1"/>
      <c r="G652" s="1"/>
      <c r="H652" s="1"/>
    </row>
    <row r="653" spans="1:8" ht="12.75">
      <c r="A653" s="1"/>
      <c r="B653" s="1"/>
      <c r="C653" s="1"/>
      <c r="D653" s="2"/>
      <c r="E653" s="1"/>
      <c r="F653" s="1"/>
      <c r="G653" s="1"/>
      <c r="H653" s="1"/>
    </row>
    <row r="654" spans="1:8" ht="12.75">
      <c r="A654" s="1"/>
      <c r="B654" s="1"/>
      <c r="C654" s="1"/>
      <c r="D654" s="2"/>
      <c r="E654" s="1"/>
      <c r="F654" s="1"/>
      <c r="G654" s="1"/>
      <c r="H654" s="1"/>
    </row>
    <row r="655" spans="1:8" ht="12.75">
      <c r="A655" s="1"/>
      <c r="B655" s="1"/>
      <c r="C655" s="1"/>
      <c r="D655" s="2"/>
      <c r="E655" s="1"/>
      <c r="F655" s="1"/>
      <c r="G655" s="1"/>
      <c r="H655" s="1"/>
    </row>
    <row r="656" spans="1:8" ht="12.75">
      <c r="A656" s="1"/>
      <c r="B656" s="1"/>
      <c r="C656" s="1"/>
      <c r="D656" s="2"/>
      <c r="E656" s="1"/>
      <c r="F656" s="1"/>
      <c r="G656" s="1"/>
      <c r="H656" s="1"/>
    </row>
    <row r="657" spans="1:8" ht="12.75">
      <c r="A657" s="1"/>
      <c r="B657" s="1"/>
      <c r="C657" s="1"/>
      <c r="D657" s="2"/>
      <c r="E657" s="1"/>
      <c r="F657" s="1"/>
      <c r="G657" s="1"/>
      <c r="H657" s="1"/>
    </row>
    <row r="658" spans="1:8" ht="12.75">
      <c r="A658" s="1"/>
      <c r="B658" s="1"/>
      <c r="C658" s="1"/>
      <c r="D658" s="2"/>
      <c r="E658" s="1"/>
      <c r="F658" s="1"/>
      <c r="G658" s="1"/>
      <c r="H658" s="1"/>
    </row>
    <row r="659" spans="1:8" ht="12.75">
      <c r="A659" s="1"/>
      <c r="B659" s="1"/>
      <c r="C659" s="1"/>
      <c r="D659" s="2"/>
      <c r="E659" s="1"/>
      <c r="F659" s="1"/>
      <c r="G659" s="1"/>
      <c r="H659" s="1"/>
    </row>
    <row r="660" spans="1:8" ht="12.75">
      <c r="A660" s="1"/>
      <c r="B660" s="1"/>
      <c r="C660" s="1"/>
      <c r="D660" s="2"/>
      <c r="E660" s="1"/>
      <c r="F660" s="1"/>
      <c r="G660" s="1"/>
      <c r="H660" s="1"/>
    </row>
    <row r="661" spans="1:8" ht="12.75">
      <c r="A661" s="1"/>
      <c r="B661" s="1"/>
      <c r="C661" s="1"/>
      <c r="D661" s="2"/>
      <c r="E661" s="1"/>
      <c r="F661" s="1"/>
      <c r="G661" s="1"/>
      <c r="H661" s="1"/>
    </row>
    <row r="662" spans="1:8" ht="12.75">
      <c r="A662" s="1"/>
      <c r="B662" s="1"/>
      <c r="C662" s="1"/>
      <c r="D662" s="2"/>
      <c r="E662" s="1"/>
      <c r="F662" s="1"/>
      <c r="G662" s="1"/>
      <c r="H662" s="1"/>
    </row>
    <row r="663" spans="1:8" ht="12.75">
      <c r="A663" s="1"/>
      <c r="B663" s="1"/>
      <c r="C663" s="1"/>
      <c r="D663" s="2"/>
      <c r="E663" s="1"/>
      <c r="F663" s="1"/>
      <c r="G663" s="1"/>
      <c r="H663" s="1"/>
    </row>
    <row r="664" spans="1:8" ht="12.75">
      <c r="A664" s="1"/>
      <c r="B664" s="1"/>
      <c r="C664" s="1"/>
      <c r="D664" s="2"/>
      <c r="E664" s="1"/>
      <c r="F664" s="1"/>
      <c r="G664" s="1"/>
      <c r="H664" s="1"/>
    </row>
    <row r="665" spans="1:8" ht="12.75">
      <c r="A665" s="1"/>
      <c r="B665" s="1"/>
      <c r="C665" s="1"/>
      <c r="D665" s="2"/>
      <c r="E665" s="1"/>
      <c r="F665" s="1"/>
      <c r="G665" s="1"/>
      <c r="H665" s="1"/>
    </row>
    <row r="666" spans="1:8" ht="12.75">
      <c r="A666" s="1"/>
      <c r="B666" s="1"/>
      <c r="C666" s="1"/>
      <c r="D666" s="2"/>
      <c r="E666" s="1"/>
      <c r="F666" s="1"/>
      <c r="G666" s="1"/>
      <c r="H666" s="1"/>
    </row>
    <row r="667" spans="1:8" ht="12.75">
      <c r="A667" s="1"/>
      <c r="B667" s="1"/>
      <c r="C667" s="1"/>
      <c r="D667" s="2"/>
      <c r="E667" s="1"/>
      <c r="F667" s="1"/>
      <c r="G667" s="1"/>
      <c r="H667" s="1"/>
    </row>
    <row r="668" spans="1:8" ht="12.75">
      <c r="A668" s="1"/>
      <c r="B668" s="1"/>
      <c r="C668" s="1"/>
      <c r="D668" s="2"/>
      <c r="E668" s="1"/>
      <c r="F668" s="1"/>
      <c r="G668" s="1"/>
      <c r="H668" s="1"/>
    </row>
    <row r="669" spans="1:8" ht="12.75">
      <c r="A669" s="1"/>
      <c r="B669" s="1"/>
      <c r="C669" s="1"/>
      <c r="D669" s="2"/>
      <c r="E669" s="1"/>
      <c r="F669" s="1"/>
      <c r="G669" s="1"/>
      <c r="H669" s="1"/>
    </row>
    <row r="670" spans="1:8" ht="12.75">
      <c r="A670" s="1"/>
      <c r="B670" s="1"/>
      <c r="C670" s="1"/>
      <c r="D670" s="2"/>
      <c r="E670" s="1"/>
      <c r="F670" s="1"/>
      <c r="G670" s="1"/>
      <c r="H670" s="1"/>
    </row>
    <row r="671" spans="1:8" ht="12.75">
      <c r="A671" s="1"/>
      <c r="B671" s="1"/>
      <c r="C671" s="1"/>
      <c r="D671" s="2"/>
      <c r="E671" s="1"/>
      <c r="F671" s="1"/>
      <c r="G671" s="1"/>
      <c r="H671" s="1"/>
    </row>
    <row r="672" spans="1:8" ht="12.75">
      <c r="A672" s="1"/>
      <c r="B672" s="1"/>
      <c r="C672" s="1"/>
      <c r="D672" s="2"/>
      <c r="E672" s="1"/>
      <c r="F672" s="1"/>
      <c r="G672" s="1"/>
      <c r="H672" s="1"/>
    </row>
    <row r="673" spans="1:8" ht="12.75">
      <c r="A673" s="1"/>
      <c r="B673" s="1"/>
      <c r="C673" s="1"/>
      <c r="D673" s="2"/>
      <c r="E673" s="1"/>
      <c r="F673" s="1"/>
      <c r="G673" s="1"/>
      <c r="H673" s="1"/>
    </row>
    <row r="674" spans="1:8" ht="12.75">
      <c r="A674" s="1"/>
      <c r="B674" s="1"/>
      <c r="C674" s="1"/>
      <c r="D674" s="2"/>
      <c r="E674" s="1"/>
      <c r="F674" s="1"/>
      <c r="G674" s="1"/>
      <c r="H674" s="1"/>
    </row>
    <row r="675" spans="1:8" ht="12.75">
      <c r="A675" s="1"/>
      <c r="B675" s="1"/>
      <c r="C675" s="1"/>
      <c r="D675" s="2"/>
      <c r="E675" s="1"/>
      <c r="F675" s="1"/>
      <c r="G675" s="1"/>
      <c r="H675" s="1"/>
    </row>
    <row r="676" spans="1:8" ht="12.75">
      <c r="A676" s="1"/>
      <c r="B676" s="1"/>
      <c r="C676" s="1"/>
      <c r="D676" s="2"/>
      <c r="E676" s="1"/>
      <c r="F676" s="1"/>
      <c r="G676" s="1"/>
      <c r="H676" s="1"/>
    </row>
    <row r="677" spans="1:8" ht="12.75">
      <c r="A677" s="1"/>
      <c r="B677" s="1"/>
      <c r="C677" s="1"/>
      <c r="D677" s="2"/>
      <c r="E677" s="1"/>
      <c r="F677" s="1"/>
      <c r="G677" s="1"/>
      <c r="H677" s="1"/>
    </row>
    <row r="678" spans="1:8" ht="12.75">
      <c r="A678" s="1"/>
      <c r="B678" s="1"/>
      <c r="C678" s="1"/>
      <c r="D678" s="2"/>
      <c r="E678" s="1"/>
      <c r="F678" s="1"/>
      <c r="G678" s="1"/>
      <c r="H678" s="1"/>
    </row>
    <row r="679" spans="1:8" ht="12.75">
      <c r="A679" s="1"/>
      <c r="B679" s="1"/>
      <c r="C679" s="1"/>
      <c r="D679" s="2"/>
      <c r="E679" s="1"/>
      <c r="F679" s="1"/>
      <c r="G679" s="1"/>
      <c r="H679" s="1"/>
    </row>
    <row r="680" spans="1:8" ht="12.75">
      <c r="A680" s="1"/>
      <c r="B680" s="1"/>
      <c r="C680" s="1"/>
      <c r="D680" s="2"/>
      <c r="E680" s="1"/>
      <c r="F680" s="1"/>
      <c r="G680" s="1"/>
      <c r="H680" s="1"/>
    </row>
    <row r="681" spans="1:8" ht="12.75">
      <c r="A681" s="1"/>
      <c r="B681" s="1"/>
      <c r="C681" s="1"/>
      <c r="D681" s="2"/>
      <c r="E681" s="1"/>
      <c r="F681" s="1"/>
      <c r="G681" s="1"/>
      <c r="H681" s="1"/>
    </row>
    <row r="682" spans="1:8" ht="12.75">
      <c r="A682" s="1"/>
      <c r="B682" s="1"/>
      <c r="C682" s="1"/>
      <c r="D682" s="2"/>
      <c r="E682" s="1"/>
      <c r="F682" s="1"/>
      <c r="G682" s="1"/>
      <c r="H682" s="1"/>
    </row>
    <row r="683" spans="1:8" ht="12.75">
      <c r="A683" s="1"/>
      <c r="B683" s="1"/>
      <c r="C683" s="1"/>
      <c r="D683" s="2"/>
      <c r="E683" s="1"/>
      <c r="F683" s="1"/>
      <c r="G683" s="1"/>
      <c r="H683" s="1"/>
    </row>
    <row r="684" spans="1:8" ht="12.75">
      <c r="A684" s="1"/>
      <c r="B684" s="1"/>
      <c r="C684" s="1"/>
      <c r="D684" s="2"/>
      <c r="E684" s="1"/>
      <c r="F684" s="1"/>
      <c r="G684" s="1"/>
      <c r="H684" s="1"/>
    </row>
    <row r="685" spans="1:8" ht="12.75">
      <c r="A685" s="1"/>
      <c r="B685" s="1"/>
      <c r="C685" s="1"/>
      <c r="D685" s="2"/>
      <c r="E685" s="1"/>
      <c r="F685" s="1"/>
      <c r="G685" s="1"/>
      <c r="H685" s="1"/>
    </row>
    <row r="686" spans="1:8" ht="12.75">
      <c r="A686" s="1"/>
      <c r="B686" s="1"/>
      <c r="C686" s="1"/>
      <c r="D686" s="2"/>
      <c r="E686" s="1"/>
      <c r="F686" s="1"/>
      <c r="G686" s="1"/>
      <c r="H686" s="1"/>
    </row>
    <row r="687" spans="1:8" ht="12.75">
      <c r="A687" s="1"/>
      <c r="B687" s="1"/>
      <c r="C687" s="1"/>
      <c r="D687" s="2"/>
      <c r="E687" s="1"/>
      <c r="F687" s="1"/>
      <c r="G687" s="1"/>
      <c r="H687" s="1"/>
    </row>
    <row r="688" spans="1:8" ht="12.75">
      <c r="A688" s="1"/>
      <c r="B688" s="1"/>
      <c r="C688" s="1"/>
      <c r="D688" s="2"/>
      <c r="E688" s="1"/>
      <c r="F688" s="1"/>
      <c r="G688" s="1"/>
      <c r="H688" s="1"/>
    </row>
    <row r="689" spans="1:8" ht="12.75">
      <c r="A689" s="1"/>
      <c r="B689" s="1"/>
      <c r="C689" s="1"/>
      <c r="D689" s="2"/>
      <c r="E689" s="1"/>
      <c r="F689" s="1"/>
      <c r="G689" s="1"/>
      <c r="H689" s="1"/>
    </row>
    <row r="690" spans="1:8" ht="12.75">
      <c r="A690" s="1"/>
      <c r="B690" s="1"/>
      <c r="C690" s="1"/>
      <c r="D690" s="2"/>
      <c r="E690" s="1"/>
      <c r="F690" s="1"/>
      <c r="G690" s="1"/>
      <c r="H690" s="1"/>
    </row>
    <row r="691" spans="1:8" ht="12.75">
      <c r="A691" s="1"/>
      <c r="B691" s="1"/>
      <c r="C691" s="1"/>
      <c r="D691" s="2"/>
      <c r="E691" s="1"/>
      <c r="F691" s="1"/>
      <c r="G691" s="1"/>
      <c r="H691" s="1"/>
    </row>
    <row r="692" spans="1:8" ht="12.75">
      <c r="A692" s="1"/>
      <c r="B692" s="1"/>
      <c r="C692" s="1"/>
      <c r="D692" s="2"/>
      <c r="E692" s="1"/>
      <c r="F692" s="1"/>
      <c r="G692" s="1"/>
      <c r="H692" s="1"/>
    </row>
    <row r="693" spans="1:8" ht="12.75">
      <c r="A693" s="1"/>
      <c r="B693" s="1"/>
      <c r="C693" s="1"/>
      <c r="D693" s="2"/>
      <c r="E693" s="1"/>
      <c r="F693" s="1"/>
      <c r="G693" s="1"/>
      <c r="H693" s="1"/>
    </row>
    <row r="694" spans="1:8" ht="12.75">
      <c r="A694" s="1"/>
      <c r="B694" s="1"/>
      <c r="C694" s="1"/>
      <c r="D694" s="2"/>
      <c r="E694" s="1"/>
      <c r="F694" s="1"/>
      <c r="G694" s="1"/>
      <c r="H694" s="1"/>
    </row>
    <row r="695" spans="1:8" ht="12.75">
      <c r="A695" s="1"/>
      <c r="B695" s="1"/>
      <c r="C695" s="1"/>
      <c r="D695" s="2"/>
      <c r="E695" s="1"/>
      <c r="F695" s="1"/>
      <c r="G695" s="1"/>
      <c r="H695" s="1"/>
    </row>
    <row r="696" spans="1:8" ht="12.75">
      <c r="A696" s="1"/>
      <c r="B696" s="1"/>
      <c r="C696" s="1"/>
      <c r="D696" s="2"/>
      <c r="E696" s="1"/>
      <c r="F696" s="1"/>
      <c r="G696" s="1"/>
      <c r="H696" s="1"/>
    </row>
    <row r="697" spans="1:8" ht="12.75">
      <c r="A697" s="1"/>
      <c r="B697" s="1"/>
      <c r="C697" s="1"/>
      <c r="D697" s="2"/>
      <c r="E697" s="1"/>
      <c r="F697" s="1"/>
      <c r="G697" s="1"/>
      <c r="H697" s="1"/>
    </row>
    <row r="698" spans="1:8" ht="12.75">
      <c r="A698" s="1"/>
      <c r="B698" s="1"/>
      <c r="C698" s="1"/>
      <c r="D698" s="2"/>
      <c r="E698" s="1"/>
      <c r="F698" s="1"/>
      <c r="G698" s="1"/>
      <c r="H698" s="1"/>
    </row>
    <row r="699" spans="1:8" ht="12.75">
      <c r="A699" s="1"/>
      <c r="B699" s="1"/>
      <c r="C699" s="1"/>
      <c r="D699" s="2"/>
      <c r="E699" s="1"/>
      <c r="F699" s="1"/>
      <c r="G699" s="1"/>
      <c r="H699" s="1"/>
    </row>
    <row r="700" spans="1:8" ht="12.75">
      <c r="A700" s="1"/>
      <c r="B700" s="1"/>
      <c r="C700" s="1"/>
      <c r="D700" s="2"/>
      <c r="E700" s="1"/>
      <c r="F700" s="1"/>
      <c r="G700" s="1"/>
      <c r="H700" s="1"/>
    </row>
    <row r="701" spans="1:8" ht="12.75">
      <c r="A701" s="1"/>
      <c r="B701" s="1"/>
      <c r="C701" s="1"/>
      <c r="D701" s="2"/>
      <c r="E701" s="1"/>
      <c r="F701" s="1"/>
      <c r="G701" s="1"/>
      <c r="H701" s="1"/>
    </row>
    <row r="702" spans="1:8" ht="12.75">
      <c r="A702" s="1"/>
      <c r="B702" s="1"/>
      <c r="C702" s="1"/>
      <c r="D702" s="2"/>
      <c r="E702" s="1"/>
      <c r="F702" s="1"/>
      <c r="G702" s="1"/>
      <c r="H702" s="1"/>
    </row>
    <row r="703" spans="1:8" ht="12.75">
      <c r="A703" s="1"/>
      <c r="B703" s="1"/>
      <c r="C703" s="1"/>
      <c r="D703" s="2"/>
      <c r="E703" s="1"/>
      <c r="F703" s="1"/>
      <c r="G703" s="1"/>
      <c r="H703" s="1"/>
    </row>
    <row r="704" spans="1:8" ht="12.75">
      <c r="A704" s="1"/>
      <c r="B704" s="1"/>
      <c r="C704" s="1"/>
      <c r="D704" s="2"/>
      <c r="E704" s="1"/>
      <c r="F704" s="1"/>
      <c r="G704" s="1"/>
      <c r="H704" s="1"/>
    </row>
    <row r="705" spans="1:8" ht="12.75">
      <c r="A705" s="1"/>
      <c r="B705" s="1"/>
      <c r="C705" s="1"/>
      <c r="D705" s="2"/>
      <c r="E705" s="1"/>
      <c r="F705" s="1"/>
      <c r="G705" s="1"/>
      <c r="H705" s="1"/>
    </row>
    <row r="706" spans="1:8" ht="12.75">
      <c r="A706" s="1"/>
      <c r="B706" s="1"/>
      <c r="C706" s="1"/>
      <c r="D706" s="2"/>
      <c r="E706" s="1"/>
      <c r="F706" s="1"/>
      <c r="G706" s="1"/>
      <c r="H706" s="1"/>
    </row>
    <row r="707" spans="1:8" ht="12.75">
      <c r="A707" s="1"/>
      <c r="B707" s="1"/>
      <c r="C707" s="1"/>
      <c r="D707" s="2"/>
      <c r="E707" s="1"/>
      <c r="F707" s="1"/>
      <c r="G707" s="1"/>
      <c r="H707" s="1"/>
    </row>
    <row r="708" spans="1:8" ht="12.75">
      <c r="A708" s="1"/>
      <c r="B708" s="1"/>
      <c r="C708" s="1"/>
      <c r="D708" s="2"/>
      <c r="E708" s="1"/>
      <c r="F708" s="1"/>
      <c r="G708" s="1"/>
      <c r="H708" s="1"/>
    </row>
    <row r="709" spans="1:8" ht="12.75">
      <c r="A709" s="1"/>
      <c r="B709" s="1"/>
      <c r="C709" s="1"/>
      <c r="D709" s="2"/>
      <c r="E709" s="1"/>
      <c r="F709" s="1"/>
      <c r="G709" s="1"/>
      <c r="H709" s="1"/>
    </row>
    <row r="710" spans="1:8" ht="12.75">
      <c r="A710" s="1"/>
      <c r="B710" s="1"/>
      <c r="C710" s="1"/>
      <c r="D710" s="2"/>
      <c r="E710" s="1"/>
      <c r="F710" s="1"/>
      <c r="G710" s="1"/>
      <c r="H710" s="1"/>
    </row>
    <row r="711" spans="1:8" ht="12.75">
      <c r="A711" s="1"/>
      <c r="B711" s="1"/>
      <c r="C711" s="1"/>
      <c r="D711" s="2"/>
      <c r="E711" s="1"/>
      <c r="F711" s="1"/>
      <c r="G711" s="1"/>
      <c r="H711" s="1"/>
    </row>
    <row r="712" spans="1:8" ht="12.75">
      <c r="A712" s="1"/>
      <c r="B712" s="1"/>
      <c r="C712" s="1"/>
      <c r="D712" s="2"/>
      <c r="E712" s="1"/>
      <c r="F712" s="1"/>
      <c r="G712" s="1"/>
      <c r="H712" s="1"/>
    </row>
    <row r="713" spans="1:8" ht="12.75">
      <c r="A713" s="1"/>
      <c r="B713" s="1"/>
      <c r="C713" s="1"/>
      <c r="D713" s="2"/>
      <c r="E713" s="1"/>
      <c r="F713" s="1"/>
      <c r="G713" s="1"/>
      <c r="H713" s="1"/>
    </row>
    <row r="714" spans="1:8" ht="12.75">
      <c r="A714" s="1"/>
      <c r="B714" s="1"/>
      <c r="C714" s="1"/>
      <c r="D714" s="2"/>
      <c r="E714" s="1"/>
      <c r="F714" s="1"/>
      <c r="G714" s="1"/>
      <c r="H714" s="1"/>
    </row>
    <row r="715" spans="1:8" ht="12.75">
      <c r="A715" s="1"/>
      <c r="B715" s="1"/>
      <c r="C715" s="1"/>
      <c r="D715" s="2"/>
      <c r="E715" s="1"/>
      <c r="F715" s="1"/>
      <c r="G715" s="1"/>
      <c r="H715" s="1"/>
    </row>
    <row r="716" spans="1:8" ht="12.75">
      <c r="A716" s="1"/>
      <c r="B716" s="1"/>
      <c r="C716" s="1"/>
      <c r="D716" s="2"/>
      <c r="E716" s="1"/>
      <c r="F716" s="1"/>
      <c r="G716" s="1"/>
      <c r="H716" s="1"/>
    </row>
    <row r="717" spans="1:8" ht="12.75">
      <c r="A717" s="1"/>
      <c r="B717" s="1"/>
      <c r="C717" s="1"/>
      <c r="D717" s="2"/>
      <c r="E717" s="1"/>
      <c r="F717" s="1"/>
      <c r="G717" s="1"/>
      <c r="H717" s="1"/>
    </row>
    <row r="718" spans="1:8" ht="12.75">
      <c r="A718" s="1"/>
      <c r="B718" s="1"/>
      <c r="C718" s="1"/>
      <c r="D718" s="2"/>
      <c r="E718" s="1"/>
      <c r="F718" s="1"/>
      <c r="G718" s="1"/>
      <c r="H718" s="1"/>
    </row>
    <row r="719" spans="1:8" ht="12.75">
      <c r="A719" s="1"/>
      <c r="B719" s="1"/>
      <c r="C719" s="1"/>
      <c r="D719" s="2"/>
      <c r="E719" s="1"/>
      <c r="F719" s="1"/>
      <c r="G719" s="1"/>
      <c r="H719" s="1"/>
    </row>
    <row r="720" spans="1:8" ht="12.75">
      <c r="A720" s="1"/>
      <c r="B720" s="1"/>
      <c r="C720" s="1"/>
      <c r="D720" s="2"/>
      <c r="E720" s="1"/>
      <c r="F720" s="1"/>
      <c r="G720" s="1"/>
      <c r="H720" s="1"/>
    </row>
    <row r="721" spans="1:8" ht="12.75">
      <c r="A721" s="1"/>
      <c r="B721" s="1"/>
      <c r="C721" s="1"/>
      <c r="D721" s="2"/>
      <c r="E721" s="1"/>
      <c r="F721" s="1"/>
      <c r="G721" s="1"/>
      <c r="H721" s="1"/>
    </row>
    <row r="722" spans="1:8" ht="12.75">
      <c r="A722" s="1"/>
      <c r="B722" s="1"/>
      <c r="C722" s="1"/>
      <c r="D722" s="2"/>
      <c r="E722" s="1"/>
      <c r="F722" s="1"/>
      <c r="G722" s="1"/>
      <c r="H722" s="1"/>
    </row>
    <row r="723" spans="1:8" ht="12.75">
      <c r="A723" s="1"/>
      <c r="B723" s="1"/>
      <c r="C723" s="1"/>
      <c r="D723" s="2"/>
      <c r="E723" s="1"/>
      <c r="F723" s="1"/>
      <c r="G723" s="1"/>
      <c r="H723" s="1"/>
    </row>
    <row r="724" spans="1:8" ht="12.75">
      <c r="A724" s="1"/>
      <c r="B724" s="1"/>
      <c r="C724" s="1"/>
      <c r="D724" s="2"/>
      <c r="E724" s="1"/>
      <c r="F724" s="1"/>
      <c r="G724" s="1"/>
      <c r="H724" s="1"/>
    </row>
    <row r="725" spans="1:8" ht="12.75">
      <c r="A725" s="1"/>
      <c r="B725" s="1"/>
      <c r="C725" s="1"/>
      <c r="D725" s="2"/>
      <c r="E725" s="1"/>
      <c r="F725" s="1"/>
      <c r="G725" s="1"/>
      <c r="H725" s="1"/>
    </row>
    <row r="726" spans="1:8" ht="12.75">
      <c r="A726" s="1"/>
      <c r="B726" s="1"/>
      <c r="C726" s="1"/>
      <c r="D726" s="2"/>
      <c r="E726" s="1"/>
      <c r="F726" s="1"/>
      <c r="G726" s="1"/>
      <c r="H726" s="1"/>
    </row>
    <row r="727" spans="1:8" ht="12.75">
      <c r="A727" s="1"/>
      <c r="B727" s="1"/>
      <c r="C727" s="1"/>
      <c r="D727" s="2"/>
      <c r="E727" s="1"/>
      <c r="F727" s="1"/>
      <c r="G727" s="1"/>
      <c r="H727" s="1"/>
    </row>
    <row r="728" spans="1:8" ht="12.75">
      <c r="A728" s="1"/>
      <c r="B728" s="1"/>
      <c r="C728" s="1"/>
      <c r="D728" s="2"/>
      <c r="E728" s="1"/>
      <c r="F728" s="1"/>
      <c r="G728" s="1"/>
      <c r="H728" s="1"/>
    </row>
    <row r="729" spans="1:8" ht="12.75">
      <c r="A729" s="1"/>
      <c r="B729" s="1"/>
      <c r="C729" s="1"/>
      <c r="D729" s="2"/>
      <c r="E729" s="1"/>
      <c r="F729" s="1"/>
      <c r="G729" s="1"/>
      <c r="H729" s="1"/>
    </row>
    <row r="730" spans="1:8" ht="12.75">
      <c r="A730" s="1"/>
      <c r="B730" s="1"/>
      <c r="C730" s="1"/>
      <c r="D730" s="2"/>
      <c r="E730" s="1"/>
      <c r="F730" s="1"/>
      <c r="G730" s="1"/>
      <c r="H730" s="1"/>
    </row>
    <row r="731" spans="1:8" ht="12.75">
      <c r="A731" s="1"/>
      <c r="B731" s="1"/>
      <c r="C731" s="1"/>
      <c r="D731" s="2"/>
      <c r="E731" s="1"/>
      <c r="F731" s="1"/>
      <c r="G731" s="1"/>
      <c r="H731" s="1"/>
    </row>
    <row r="732" spans="1:8" ht="12.75">
      <c r="A732" s="1"/>
      <c r="B732" s="1"/>
      <c r="C732" s="1"/>
      <c r="D732" s="2"/>
      <c r="E732" s="1"/>
      <c r="F732" s="1"/>
      <c r="G732" s="1"/>
      <c r="H732" s="1"/>
    </row>
    <row r="733" spans="1:8" ht="12.75">
      <c r="A733" s="1"/>
      <c r="B733" s="1"/>
      <c r="C733" s="1"/>
      <c r="D733" s="2"/>
      <c r="E733" s="1"/>
      <c r="F733" s="1"/>
      <c r="G733" s="1"/>
      <c r="H733" s="1"/>
    </row>
    <row r="734" spans="1:8" ht="12.75">
      <c r="A734" s="1"/>
      <c r="B734" s="1"/>
      <c r="C734" s="1"/>
      <c r="D734" s="2"/>
      <c r="E734" s="1"/>
      <c r="F734" s="1"/>
      <c r="G734" s="1"/>
      <c r="H734" s="1"/>
    </row>
    <row r="735" spans="1:8" ht="12.75">
      <c r="A735" s="1"/>
      <c r="B735" s="1"/>
      <c r="C735" s="1"/>
      <c r="D735" s="2"/>
      <c r="E735" s="1"/>
      <c r="F735" s="1"/>
      <c r="G735" s="1"/>
      <c r="H735" s="1"/>
    </row>
    <row r="736" spans="1:8" ht="12.75">
      <c r="A736" s="1"/>
      <c r="B736" s="1"/>
      <c r="C736" s="1"/>
      <c r="D736" s="2"/>
      <c r="E736" s="1"/>
      <c r="F736" s="1"/>
      <c r="G736" s="1"/>
      <c r="H736" s="1"/>
    </row>
    <row r="737" spans="1:8" ht="12.75">
      <c r="A737" s="1"/>
      <c r="B737" s="1"/>
      <c r="C737" s="1"/>
      <c r="D737" s="2"/>
      <c r="E737" s="1"/>
      <c r="F737" s="1"/>
      <c r="G737" s="1"/>
      <c r="H737" s="1"/>
    </row>
    <row r="738" spans="1:8" ht="12.75">
      <c r="A738" s="1"/>
      <c r="B738" s="1"/>
      <c r="C738" s="1"/>
      <c r="D738" s="2"/>
      <c r="E738" s="1"/>
      <c r="F738" s="1"/>
      <c r="G738" s="1"/>
      <c r="H738" s="1"/>
    </row>
    <row r="739" spans="1:8" ht="12.75">
      <c r="A739" s="1"/>
      <c r="B739" s="1"/>
      <c r="C739" s="1"/>
      <c r="D739" s="2"/>
      <c r="E739" s="1"/>
      <c r="F739" s="1"/>
      <c r="G739" s="1"/>
      <c r="H739" s="1"/>
    </row>
    <row r="740" spans="1:8" ht="12.75">
      <c r="A740" s="1"/>
      <c r="B740" s="1"/>
      <c r="C740" s="1"/>
      <c r="D740" s="2"/>
      <c r="E740" s="1"/>
      <c r="F740" s="1"/>
      <c r="G740" s="1"/>
      <c r="H740" s="1"/>
    </row>
    <row r="741" spans="1:8" ht="12.75">
      <c r="A741" s="1"/>
      <c r="B741" s="1"/>
      <c r="C741" s="1"/>
      <c r="D741" s="2"/>
      <c r="E741" s="1"/>
      <c r="F741" s="1"/>
      <c r="G741" s="1"/>
      <c r="H741" s="1"/>
    </row>
    <row r="742" spans="1:8" ht="12.75">
      <c r="A742" s="1"/>
      <c r="B742" s="1"/>
      <c r="C742" s="1"/>
      <c r="D742" s="2"/>
      <c r="E742" s="1"/>
      <c r="F742" s="1"/>
      <c r="G742" s="1"/>
      <c r="H742" s="1"/>
    </row>
    <row r="743" spans="1:8" ht="12.75">
      <c r="A743" s="1"/>
      <c r="B743" s="1"/>
      <c r="C743" s="1"/>
      <c r="D743" s="2"/>
      <c r="E743" s="1"/>
      <c r="F743" s="1"/>
      <c r="G743" s="1"/>
      <c r="H743" s="1"/>
    </row>
    <row r="744" spans="1:8" ht="12.75">
      <c r="A744" s="1"/>
      <c r="B744" s="1"/>
      <c r="C744" s="1"/>
      <c r="D744" s="2"/>
      <c r="E744" s="1"/>
      <c r="F744" s="1"/>
      <c r="G744" s="1"/>
      <c r="H744" s="1"/>
    </row>
    <row r="745" spans="1:8" ht="12.75">
      <c r="A745" s="1"/>
      <c r="B745" s="1"/>
      <c r="C745" s="1"/>
      <c r="D745" s="2"/>
      <c r="E745" s="1"/>
      <c r="F745" s="1"/>
      <c r="G745" s="1"/>
      <c r="H745" s="1"/>
    </row>
    <row r="746" spans="1:8" ht="12.75">
      <c r="A746" s="1"/>
      <c r="B746" s="1"/>
      <c r="C746" s="1"/>
      <c r="D746" s="2"/>
      <c r="E746" s="1"/>
      <c r="F746" s="1"/>
      <c r="G746" s="1"/>
      <c r="H746" s="1"/>
    </row>
    <row r="747" spans="1:8" ht="12.75">
      <c r="A747" s="1"/>
      <c r="B747" s="1"/>
      <c r="C747" s="1"/>
      <c r="D747" s="2"/>
      <c r="E747" s="1"/>
      <c r="F747" s="1"/>
      <c r="G747" s="1"/>
      <c r="H747" s="1"/>
    </row>
    <row r="748" spans="1:8" ht="12.75">
      <c r="A748" s="1"/>
      <c r="B748" s="1"/>
      <c r="C748" s="1"/>
      <c r="D748" s="2"/>
      <c r="E748" s="1"/>
      <c r="F748" s="1"/>
      <c r="G748" s="1"/>
      <c r="H748" s="1"/>
    </row>
    <row r="749" spans="1:8" ht="12.75">
      <c r="A749" s="1"/>
      <c r="B749" s="1"/>
      <c r="C749" s="1"/>
      <c r="D749" s="2"/>
      <c r="E749" s="1"/>
      <c r="F749" s="1"/>
      <c r="G749" s="1"/>
      <c r="H749" s="1"/>
    </row>
    <row r="750" spans="1:8" ht="12.75">
      <c r="A750" s="1"/>
      <c r="B750" s="1"/>
      <c r="C750" s="1"/>
      <c r="D750" s="2"/>
      <c r="E750" s="1"/>
      <c r="F750" s="1"/>
      <c r="G750" s="1"/>
      <c r="H750" s="1"/>
    </row>
    <row r="751" spans="1:8" ht="12.75">
      <c r="A751" s="1"/>
      <c r="B751" s="1"/>
      <c r="C751" s="1"/>
      <c r="D751" s="2"/>
      <c r="E751" s="1"/>
      <c r="F751" s="1"/>
      <c r="G751" s="1"/>
      <c r="H751" s="1"/>
    </row>
    <row r="752" spans="1:8" ht="12.75">
      <c r="A752" s="1"/>
      <c r="B752" s="1"/>
      <c r="C752" s="1"/>
      <c r="D752" s="2"/>
      <c r="E752" s="1"/>
      <c r="F752" s="1"/>
      <c r="G752" s="1"/>
      <c r="H752" s="1"/>
    </row>
    <row r="753" spans="1:8" ht="12.75">
      <c r="A753" s="1"/>
      <c r="B753" s="1"/>
      <c r="C753" s="1"/>
      <c r="D753" s="2"/>
      <c r="E753" s="1"/>
      <c r="F753" s="1"/>
      <c r="G753" s="1"/>
      <c r="H753" s="1"/>
    </row>
    <row r="754" spans="1:8" ht="12.75">
      <c r="A754" s="1"/>
      <c r="B754" s="1"/>
      <c r="C754" s="1"/>
      <c r="D754" s="2"/>
      <c r="E754" s="1"/>
      <c r="F754" s="1"/>
      <c r="G754" s="1"/>
      <c r="H754" s="1"/>
    </row>
    <row r="755" spans="1:8" ht="12.75">
      <c r="A755" s="1"/>
      <c r="B755" s="1"/>
      <c r="C755" s="1"/>
      <c r="D755" s="2"/>
      <c r="E755" s="1"/>
      <c r="F755" s="1"/>
      <c r="G755" s="1"/>
      <c r="H755" s="1"/>
    </row>
    <row r="756" spans="1:8" ht="12.75">
      <c r="A756" s="1"/>
      <c r="B756" s="1"/>
      <c r="C756" s="1"/>
      <c r="D756" s="2"/>
      <c r="E756" s="1"/>
      <c r="F756" s="1"/>
      <c r="G756" s="1"/>
      <c r="H756" s="1"/>
    </row>
    <row r="757" spans="1:8" ht="12.75">
      <c r="A757" s="1"/>
      <c r="B757" s="1"/>
      <c r="C757" s="1"/>
      <c r="D757" s="2"/>
      <c r="E757" s="1"/>
      <c r="F757" s="1"/>
      <c r="G757" s="1"/>
      <c r="H757" s="1"/>
    </row>
    <row r="758" spans="1:8" ht="12.75">
      <c r="A758" s="1"/>
      <c r="B758" s="1"/>
      <c r="C758" s="1"/>
      <c r="D758" s="2"/>
      <c r="E758" s="1"/>
      <c r="F758" s="1"/>
      <c r="G758" s="1"/>
      <c r="H758" s="1"/>
    </row>
    <row r="759" spans="1:8" ht="12.75">
      <c r="A759" s="1"/>
      <c r="B759" s="1"/>
      <c r="C759" s="1"/>
      <c r="D759" s="2"/>
      <c r="E759" s="1"/>
      <c r="F759" s="1"/>
      <c r="G759" s="1"/>
      <c r="H759" s="1"/>
    </row>
    <row r="760" spans="1:8" ht="12.75">
      <c r="A760" s="1"/>
      <c r="B760" s="1"/>
      <c r="C760" s="1"/>
      <c r="D760" s="2"/>
      <c r="E760" s="1"/>
      <c r="F760" s="1"/>
      <c r="G760" s="1"/>
      <c r="H760" s="1"/>
    </row>
    <row r="761" spans="1:8" ht="12.75">
      <c r="A761" s="1"/>
      <c r="B761" s="1"/>
      <c r="C761" s="1"/>
      <c r="D761" s="2"/>
      <c r="E761" s="1"/>
      <c r="F761" s="1"/>
      <c r="G761" s="1"/>
      <c r="H761" s="1"/>
    </row>
    <row r="762" spans="1:8" ht="12.75">
      <c r="A762" s="1"/>
      <c r="B762" s="1"/>
      <c r="C762" s="1"/>
      <c r="D762" s="2"/>
      <c r="E762" s="1"/>
      <c r="F762" s="1"/>
      <c r="G762" s="1"/>
      <c r="H762" s="1"/>
    </row>
    <row r="763" spans="1:8" ht="12.75">
      <c r="A763" s="1"/>
      <c r="B763" s="1"/>
      <c r="C763" s="1"/>
      <c r="D763" s="2"/>
      <c r="E763" s="1"/>
      <c r="F763" s="1"/>
      <c r="G763" s="1"/>
      <c r="H763" s="1"/>
    </row>
    <row r="764" spans="1:8" ht="12.75">
      <c r="A764" s="1"/>
      <c r="B764" s="1"/>
      <c r="C764" s="1"/>
      <c r="D764" s="2"/>
      <c r="E764" s="1"/>
      <c r="F764" s="1"/>
      <c r="G764" s="1"/>
      <c r="H764" s="1"/>
    </row>
    <row r="765" spans="1:8" ht="12.75">
      <c r="A765" s="1"/>
      <c r="B765" s="1"/>
      <c r="C765" s="1"/>
      <c r="D765" s="2"/>
      <c r="E765" s="1"/>
      <c r="F765" s="1"/>
      <c r="G765" s="1"/>
      <c r="H765" s="1"/>
    </row>
    <row r="766" spans="1:8" ht="12.75">
      <c r="A766" s="1"/>
      <c r="B766" s="1"/>
      <c r="C766" s="1"/>
      <c r="D766" s="2"/>
      <c r="E766" s="1"/>
      <c r="F766" s="1"/>
      <c r="G766" s="1"/>
      <c r="H766" s="1"/>
    </row>
    <row r="767" spans="1:8" ht="12.75">
      <c r="A767" s="1"/>
      <c r="B767" s="1"/>
      <c r="C767" s="1"/>
      <c r="D767" s="2"/>
      <c r="E767" s="1"/>
      <c r="F767" s="1"/>
      <c r="G767" s="1"/>
      <c r="H767" s="1"/>
    </row>
    <row r="768" spans="1:8" ht="12.75">
      <c r="A768" s="1"/>
      <c r="B768" s="1"/>
      <c r="C768" s="1"/>
      <c r="D768" s="2"/>
      <c r="E768" s="1"/>
      <c r="F768" s="1"/>
      <c r="G768" s="1"/>
      <c r="H768" s="1"/>
    </row>
    <row r="769" spans="1:8" ht="12.75">
      <c r="A769" s="1"/>
      <c r="B769" s="1"/>
      <c r="C769" s="1"/>
      <c r="D769" s="2"/>
      <c r="E769" s="1"/>
      <c r="F769" s="1"/>
      <c r="G769" s="1"/>
      <c r="H769" s="1"/>
    </row>
    <row r="770" spans="1:8" ht="12.75">
      <c r="A770" s="1"/>
      <c r="B770" s="1"/>
      <c r="C770" s="1"/>
      <c r="D770" s="2"/>
      <c r="E770" s="1"/>
      <c r="F770" s="1"/>
      <c r="G770" s="1"/>
      <c r="H770" s="1"/>
    </row>
    <row r="771" spans="1:8" ht="12.75">
      <c r="A771" s="1"/>
      <c r="B771" s="1"/>
      <c r="C771" s="1"/>
      <c r="D771" s="2"/>
      <c r="E771" s="1"/>
      <c r="F771" s="1"/>
      <c r="G771" s="1"/>
      <c r="H771" s="1"/>
    </row>
    <row r="772" spans="1:8" ht="12.75">
      <c r="A772" s="1"/>
      <c r="B772" s="1"/>
      <c r="C772" s="1"/>
      <c r="D772" s="2"/>
      <c r="E772" s="1"/>
      <c r="F772" s="1"/>
      <c r="G772" s="1"/>
      <c r="H772" s="1"/>
    </row>
    <row r="773" spans="1:8" ht="12.75">
      <c r="A773" s="1"/>
      <c r="B773" s="1"/>
      <c r="C773" s="1"/>
      <c r="D773" s="2"/>
      <c r="E773" s="1"/>
      <c r="F773" s="1"/>
      <c r="G773" s="1"/>
      <c r="H773" s="1"/>
    </row>
    <row r="774" spans="1:8" ht="12.75">
      <c r="A774" s="1"/>
      <c r="B774" s="1"/>
      <c r="C774" s="1"/>
      <c r="D774" s="2"/>
      <c r="E774" s="1"/>
      <c r="F774" s="1"/>
      <c r="G774" s="1"/>
      <c r="H774" s="1"/>
    </row>
    <row r="775" spans="1:8" ht="12.75">
      <c r="A775" s="1"/>
      <c r="B775" s="1"/>
      <c r="C775" s="1"/>
      <c r="D775" s="2"/>
      <c r="E775" s="1"/>
      <c r="F775" s="1"/>
      <c r="G775" s="1"/>
      <c r="H775" s="1"/>
    </row>
    <row r="776" spans="1:8" ht="12.75">
      <c r="A776" s="1"/>
      <c r="B776" s="1"/>
      <c r="C776" s="1"/>
      <c r="D776" s="2"/>
      <c r="E776" s="1"/>
      <c r="F776" s="1"/>
      <c r="G776" s="1"/>
      <c r="H776" s="1"/>
    </row>
    <row r="777" spans="1:8" ht="12.75">
      <c r="A777" s="1"/>
      <c r="B777" s="1"/>
      <c r="C777" s="1"/>
      <c r="D777" s="2"/>
      <c r="E777" s="1"/>
      <c r="F777" s="1"/>
      <c r="G777" s="1"/>
      <c r="H777" s="1"/>
    </row>
    <row r="778" spans="1:8" ht="12.75">
      <c r="A778" s="1"/>
      <c r="B778" s="1"/>
      <c r="C778" s="1"/>
      <c r="D778" s="2"/>
      <c r="E778" s="1"/>
      <c r="F778" s="1"/>
      <c r="G778" s="1"/>
      <c r="H778" s="1"/>
    </row>
    <row r="779" spans="1:8" ht="12.75">
      <c r="A779" s="1"/>
      <c r="B779" s="1"/>
      <c r="C779" s="1"/>
      <c r="D779" s="2"/>
      <c r="E779" s="1"/>
      <c r="F779" s="1"/>
      <c r="G779" s="1"/>
      <c r="H779" s="1"/>
    </row>
    <row r="780" spans="1:8" ht="12.75">
      <c r="A780" s="1"/>
      <c r="B780" s="1"/>
      <c r="C780" s="1"/>
      <c r="D780" s="2"/>
      <c r="E780" s="1"/>
      <c r="F780" s="1"/>
      <c r="G780" s="1"/>
      <c r="H780" s="1"/>
    </row>
    <row r="781" spans="1:8" ht="12.75">
      <c r="A781" s="1"/>
      <c r="B781" s="1"/>
      <c r="C781" s="1"/>
      <c r="D781" s="2"/>
      <c r="E781" s="1"/>
      <c r="F781" s="1"/>
      <c r="G781" s="1"/>
      <c r="H781" s="1"/>
    </row>
    <row r="782" spans="1:8" ht="12.75">
      <c r="A782" s="1"/>
      <c r="B782" s="1"/>
      <c r="C782" s="1"/>
      <c r="D782" s="2"/>
      <c r="E782" s="1"/>
      <c r="F782" s="1"/>
      <c r="G782" s="1"/>
      <c r="H782" s="1"/>
    </row>
    <row r="783" spans="1:8" ht="12.75">
      <c r="A783" s="1"/>
      <c r="B783" s="1"/>
      <c r="C783" s="1"/>
      <c r="D783" s="2"/>
      <c r="E783" s="1"/>
      <c r="F783" s="1"/>
      <c r="G783" s="1"/>
      <c r="H783" s="1"/>
    </row>
    <row r="784" spans="1:8" ht="12.75">
      <c r="A784" s="1"/>
      <c r="B784" s="1"/>
      <c r="C784" s="1"/>
      <c r="D784" s="2"/>
      <c r="E784" s="1"/>
      <c r="F784" s="1"/>
      <c r="G784" s="1"/>
      <c r="H784" s="1"/>
    </row>
    <row r="785" spans="1:8" ht="12.75">
      <c r="A785" s="1"/>
      <c r="B785" s="1"/>
      <c r="C785" s="1"/>
      <c r="D785" s="2"/>
      <c r="E785" s="1"/>
      <c r="F785" s="1"/>
      <c r="G785" s="1"/>
      <c r="H785" s="1"/>
    </row>
    <row r="786" spans="1:8" ht="12.75">
      <c r="A786" s="1"/>
      <c r="B786" s="1"/>
      <c r="C786" s="1"/>
      <c r="D786" s="2"/>
      <c r="E786" s="1"/>
      <c r="F786" s="1"/>
      <c r="G786" s="1"/>
      <c r="H786" s="1"/>
    </row>
    <row r="787" spans="1:8" ht="12.75">
      <c r="A787" s="1"/>
      <c r="B787" s="1"/>
      <c r="C787" s="1"/>
      <c r="D787" s="2"/>
      <c r="E787" s="1"/>
      <c r="F787" s="1"/>
      <c r="G787" s="1"/>
      <c r="H787" s="1"/>
    </row>
    <row r="788" spans="1:8" ht="12.75">
      <c r="A788" s="1"/>
      <c r="B788" s="1"/>
      <c r="C788" s="1"/>
      <c r="D788" s="2"/>
      <c r="E788" s="1"/>
      <c r="F788" s="1"/>
      <c r="G788" s="1"/>
      <c r="H788" s="1"/>
    </row>
    <row r="789" spans="1:8" ht="12.75">
      <c r="A789" s="1"/>
      <c r="B789" s="1"/>
      <c r="C789" s="1"/>
      <c r="D789" s="2"/>
      <c r="E789" s="1"/>
      <c r="F789" s="1"/>
      <c r="G789" s="1"/>
      <c r="H789" s="1"/>
    </row>
    <row r="790" spans="1:8" ht="12.75">
      <c r="A790" s="1"/>
      <c r="B790" s="1"/>
      <c r="C790" s="1"/>
      <c r="D790" s="2"/>
      <c r="E790" s="1"/>
      <c r="F790" s="1"/>
      <c r="G790" s="1"/>
      <c r="H790" s="1"/>
    </row>
    <row r="791" spans="1:8" ht="12.75">
      <c r="A791" s="1"/>
      <c r="B791" s="1"/>
      <c r="C791" s="1"/>
      <c r="D791" s="2"/>
      <c r="E791" s="1"/>
      <c r="F791" s="1"/>
      <c r="G791" s="1"/>
      <c r="H791" s="1"/>
    </row>
    <row r="792" spans="1:8" ht="12.75">
      <c r="A792" s="1"/>
      <c r="B792" s="1"/>
      <c r="C792" s="1"/>
      <c r="D792" s="2"/>
      <c r="E792" s="1"/>
      <c r="F792" s="1"/>
      <c r="G792" s="1"/>
      <c r="H792" s="1"/>
    </row>
    <row r="793" spans="1:8" ht="12.75">
      <c r="A793" s="1"/>
      <c r="B793" s="1"/>
      <c r="C793" s="1"/>
      <c r="D793" s="2"/>
      <c r="E793" s="1"/>
      <c r="F793" s="1"/>
      <c r="G793" s="1"/>
      <c r="H793" s="1"/>
    </row>
    <row r="794" spans="1:8" ht="12.75">
      <c r="A794" s="1"/>
      <c r="B794" s="1"/>
      <c r="C794" s="1"/>
      <c r="D794" s="2"/>
      <c r="E794" s="1"/>
      <c r="F794" s="1"/>
      <c r="G794" s="1"/>
      <c r="H794" s="1"/>
    </row>
    <row r="795" spans="1:8" ht="12.75">
      <c r="A795" s="1"/>
      <c r="B795" s="1"/>
      <c r="C795" s="1"/>
      <c r="D795" s="2"/>
      <c r="E795" s="1"/>
      <c r="F795" s="1"/>
      <c r="G795" s="1"/>
      <c r="H795" s="1"/>
    </row>
    <row r="796" spans="1:8" ht="12.75">
      <c r="A796" s="1"/>
      <c r="B796" s="1"/>
      <c r="C796" s="1"/>
      <c r="D796" s="2"/>
      <c r="E796" s="1"/>
      <c r="F796" s="1"/>
      <c r="G796" s="1"/>
      <c r="H796" s="1"/>
    </row>
    <row r="797" spans="1:8" ht="12.75">
      <c r="A797" s="1"/>
      <c r="B797" s="1"/>
      <c r="C797" s="1"/>
      <c r="D797" s="2"/>
      <c r="E797" s="1"/>
      <c r="F797" s="1"/>
      <c r="G797" s="1"/>
      <c r="H797" s="1"/>
    </row>
    <row r="798" spans="1:8" ht="12.75">
      <c r="A798" s="1"/>
      <c r="B798" s="1"/>
      <c r="C798" s="1"/>
      <c r="D798" s="2"/>
      <c r="E798" s="1"/>
      <c r="F798" s="1"/>
      <c r="G798" s="1"/>
      <c r="H798" s="1"/>
    </row>
    <row r="799" spans="1:8" ht="12.75">
      <c r="A799" s="1"/>
      <c r="B799" s="1"/>
      <c r="C799" s="1"/>
      <c r="D799" s="2"/>
      <c r="E799" s="1"/>
      <c r="F799" s="1"/>
      <c r="G799" s="1"/>
      <c r="H799" s="1"/>
    </row>
    <row r="800" spans="1:8" ht="12.75">
      <c r="A800" s="1"/>
      <c r="B800" s="1"/>
      <c r="C800" s="1"/>
      <c r="D800" s="2"/>
      <c r="E800" s="1"/>
      <c r="F800" s="1"/>
      <c r="G800" s="1"/>
      <c r="H800" s="1"/>
    </row>
    <row r="801" spans="1:8" ht="12.75">
      <c r="A801" s="1"/>
      <c r="B801" s="1"/>
      <c r="C801" s="1"/>
      <c r="D801" s="2"/>
      <c r="E801" s="1"/>
      <c r="F801" s="1"/>
      <c r="G801" s="1"/>
      <c r="H801" s="1"/>
    </row>
    <row r="802" spans="1:8" ht="12.75">
      <c r="A802" s="1"/>
      <c r="B802" s="1"/>
      <c r="C802" s="1"/>
      <c r="D802" s="2"/>
      <c r="E802" s="1"/>
      <c r="F802" s="1"/>
      <c r="G802" s="1"/>
      <c r="H802" s="1"/>
    </row>
    <row r="803" spans="1:8" ht="12.75">
      <c r="A803" s="1"/>
      <c r="B803" s="1"/>
      <c r="C803" s="1"/>
      <c r="D803" s="2"/>
      <c r="E803" s="1"/>
      <c r="F803" s="1"/>
      <c r="G803" s="1"/>
      <c r="H803" s="1"/>
    </row>
    <row r="804" spans="1:8" ht="12.75">
      <c r="A804" s="1"/>
      <c r="B804" s="1"/>
      <c r="C804" s="1"/>
      <c r="D804" s="2"/>
      <c r="E804" s="1"/>
      <c r="F804" s="1"/>
      <c r="G804" s="1"/>
      <c r="H804" s="1"/>
    </row>
    <row r="805" spans="1:8" ht="12.75">
      <c r="A805" s="1"/>
      <c r="B805" s="1"/>
      <c r="C805" s="1"/>
      <c r="D805" s="2"/>
      <c r="E805" s="1"/>
      <c r="F805" s="1"/>
      <c r="G805" s="1"/>
      <c r="H805" s="1"/>
    </row>
    <row r="806" spans="1:8" ht="12.75">
      <c r="A806" s="1"/>
      <c r="B806" s="1"/>
      <c r="C806" s="1"/>
      <c r="D806" s="2"/>
      <c r="E806" s="1"/>
      <c r="F806" s="1"/>
      <c r="G806" s="1"/>
      <c r="H806" s="1"/>
    </row>
    <row r="807" spans="1:8" ht="12.75">
      <c r="A807" s="1"/>
      <c r="B807" s="1"/>
      <c r="C807" s="1"/>
      <c r="D807" s="2"/>
      <c r="E807" s="1"/>
      <c r="F807" s="1"/>
      <c r="G807" s="1"/>
      <c r="H807" s="1"/>
    </row>
    <row r="808" spans="1:8" ht="12.75">
      <c r="A808" s="1"/>
      <c r="B808" s="1"/>
      <c r="C808" s="1"/>
      <c r="D808" s="2"/>
      <c r="E808" s="1"/>
      <c r="F808" s="1"/>
      <c r="G808" s="1"/>
      <c r="H808" s="1"/>
    </row>
    <row r="809" spans="1:8" ht="12.75">
      <c r="A809" s="1"/>
      <c r="B809" s="1"/>
      <c r="C809" s="1"/>
      <c r="D809" s="2"/>
      <c r="E809" s="1"/>
      <c r="F809" s="1"/>
      <c r="G809" s="1"/>
      <c r="H809" s="1"/>
    </row>
    <row r="810" spans="1:8" ht="12.75">
      <c r="A810" s="1"/>
      <c r="B810" s="1"/>
      <c r="C810" s="1"/>
      <c r="D810" s="2"/>
      <c r="E810" s="1"/>
      <c r="F810" s="1"/>
      <c r="G810" s="1"/>
      <c r="H810" s="1"/>
    </row>
    <row r="811" spans="1:8" ht="12.75">
      <c r="A811" s="1"/>
      <c r="B811" s="1"/>
      <c r="C811" s="1"/>
      <c r="D811" s="2"/>
      <c r="E811" s="1"/>
      <c r="F811" s="1"/>
      <c r="G811" s="1"/>
      <c r="H811" s="1"/>
    </row>
    <row r="812" spans="1:8" ht="12.75">
      <c r="A812" s="1"/>
      <c r="B812" s="1"/>
      <c r="C812" s="1"/>
      <c r="D812" s="2"/>
      <c r="E812" s="1"/>
      <c r="F812" s="1"/>
      <c r="G812" s="1"/>
      <c r="H812" s="1"/>
    </row>
    <row r="813" spans="1:8" ht="12.75">
      <c r="A813" s="1"/>
      <c r="B813" s="1"/>
      <c r="C813" s="1"/>
      <c r="D813" s="2"/>
      <c r="E813" s="1"/>
      <c r="F813" s="1"/>
      <c r="G813" s="1"/>
      <c r="H813" s="1"/>
    </row>
    <row r="814" spans="1:8" ht="12.75">
      <c r="A814" s="1"/>
      <c r="B814" s="1"/>
      <c r="C814" s="1"/>
      <c r="D814" s="2"/>
      <c r="E814" s="1"/>
      <c r="F814" s="1"/>
      <c r="G814" s="1"/>
      <c r="H814" s="1"/>
    </row>
    <row r="815" spans="1:8" ht="12.75">
      <c r="A815" s="1"/>
      <c r="B815" s="1"/>
      <c r="C815" s="1"/>
      <c r="D815" s="2"/>
      <c r="E815" s="1"/>
      <c r="F815" s="1"/>
      <c r="G815" s="1"/>
      <c r="H815" s="1"/>
    </row>
    <row r="816" spans="1:8" ht="12.75">
      <c r="A816" s="1"/>
      <c r="B816" s="1"/>
      <c r="C816" s="1"/>
      <c r="D816" s="2"/>
      <c r="E816" s="1"/>
      <c r="F816" s="1"/>
      <c r="G816" s="1"/>
      <c r="H816" s="1"/>
    </row>
    <row r="817" spans="1:8" ht="12.75">
      <c r="A817" s="1"/>
      <c r="B817" s="1"/>
      <c r="C817" s="1"/>
      <c r="D817" s="2"/>
      <c r="E817" s="1"/>
      <c r="F817" s="1"/>
      <c r="G817" s="1"/>
      <c r="H817" s="1"/>
    </row>
    <row r="818" spans="1:8" ht="12.75">
      <c r="A818" s="1"/>
      <c r="B818" s="1"/>
      <c r="C818" s="1"/>
      <c r="D818" s="2"/>
      <c r="E818" s="1"/>
      <c r="F818" s="1"/>
      <c r="G818" s="1"/>
      <c r="H818" s="1"/>
    </row>
    <row r="819" spans="1:8" ht="12.75">
      <c r="A819" s="1"/>
      <c r="B819" s="1"/>
      <c r="C819" s="1"/>
      <c r="D819" s="2"/>
      <c r="E819" s="1"/>
      <c r="F819" s="1"/>
      <c r="G819" s="1"/>
      <c r="H819" s="1"/>
    </row>
    <row r="820" spans="1:8" ht="12.75">
      <c r="A820" s="1"/>
      <c r="B820" s="1"/>
      <c r="C820" s="1"/>
      <c r="D820" s="2"/>
      <c r="E820" s="1"/>
      <c r="F820" s="1"/>
      <c r="G820" s="1"/>
      <c r="H820" s="1"/>
    </row>
    <row r="821" spans="1:8" ht="12.75">
      <c r="A821" s="1"/>
      <c r="B821" s="1"/>
      <c r="C821" s="1"/>
      <c r="D821" s="2"/>
      <c r="E821" s="1"/>
      <c r="F821" s="1"/>
      <c r="G821" s="1"/>
      <c r="H821" s="1"/>
    </row>
    <row r="822" spans="1:8" ht="12.75">
      <c r="A822" s="1"/>
      <c r="B822" s="1"/>
      <c r="C822" s="1"/>
      <c r="D822" s="2"/>
      <c r="E822" s="1"/>
      <c r="F822" s="1"/>
      <c r="G822" s="1"/>
      <c r="H822" s="1"/>
    </row>
    <row r="823" spans="1:8" ht="12.75">
      <c r="A823" s="1"/>
      <c r="B823" s="1"/>
      <c r="C823" s="1"/>
      <c r="D823" s="2"/>
      <c r="E823" s="1"/>
      <c r="F823" s="1"/>
      <c r="G823" s="1"/>
      <c r="H823" s="1"/>
    </row>
    <row r="824" spans="1:8" ht="12.75">
      <c r="A824" s="1"/>
      <c r="B824" s="1"/>
      <c r="C824" s="1"/>
      <c r="D824" s="2"/>
      <c r="E824" s="1"/>
      <c r="F824" s="1"/>
      <c r="G824" s="1"/>
      <c r="H824" s="1"/>
    </row>
    <row r="825" spans="1:8" ht="12.75">
      <c r="A825" s="1"/>
      <c r="B825" s="1"/>
      <c r="C825" s="1"/>
      <c r="D825" s="2"/>
      <c r="E825" s="1"/>
      <c r="F825" s="1"/>
      <c r="G825" s="1"/>
      <c r="H825" s="1"/>
    </row>
    <row r="826" spans="1:8" ht="12.75">
      <c r="A826" s="1"/>
      <c r="B826" s="1"/>
      <c r="C826" s="1"/>
      <c r="D826" s="2"/>
      <c r="E826" s="1"/>
      <c r="F826" s="1"/>
      <c r="G826" s="1"/>
      <c r="H826" s="1"/>
    </row>
    <row r="827" spans="1:8" ht="12.75">
      <c r="A827" s="1"/>
      <c r="B827" s="1"/>
      <c r="C827" s="1"/>
      <c r="D827" s="2"/>
      <c r="E827" s="1"/>
      <c r="F827" s="1"/>
      <c r="G827" s="1"/>
      <c r="H827" s="1"/>
    </row>
    <row r="828" spans="1:8" ht="12.75">
      <c r="A828" s="1"/>
      <c r="B828" s="1"/>
      <c r="C828" s="1"/>
      <c r="D828" s="2"/>
      <c r="E828" s="1"/>
      <c r="F828" s="1"/>
      <c r="G828" s="1"/>
      <c r="H828" s="1"/>
    </row>
    <row r="829" spans="1:8" ht="12.75">
      <c r="A829" s="1"/>
      <c r="B829" s="1"/>
      <c r="C829" s="1"/>
      <c r="D829" s="2"/>
      <c r="E829" s="1"/>
      <c r="F829" s="1"/>
      <c r="G829" s="1"/>
      <c r="H829" s="1"/>
    </row>
    <row r="830" spans="1:8" ht="12.75">
      <c r="A830" s="1"/>
      <c r="B830" s="1"/>
      <c r="C830" s="1"/>
      <c r="D830" s="2"/>
      <c r="E830" s="1"/>
      <c r="F830" s="1"/>
      <c r="G830" s="1"/>
      <c r="H830" s="1"/>
    </row>
    <row r="831" spans="1:8" ht="12.75">
      <c r="A831" s="1"/>
      <c r="B831" s="1"/>
      <c r="C831" s="1"/>
      <c r="D831" s="2"/>
      <c r="E831" s="1"/>
      <c r="F831" s="1"/>
      <c r="G831" s="1"/>
      <c r="H831" s="1"/>
    </row>
    <row r="832" spans="1:8" ht="12.75">
      <c r="A832" s="1"/>
      <c r="B832" s="1"/>
      <c r="C832" s="1"/>
      <c r="D832" s="2"/>
      <c r="E832" s="1"/>
      <c r="F832" s="1"/>
      <c r="G832" s="1"/>
      <c r="H832" s="1"/>
    </row>
    <row r="833" spans="1:8" ht="12.75">
      <c r="A833" s="1"/>
      <c r="B833" s="1"/>
      <c r="C833" s="1"/>
      <c r="D833" s="2"/>
      <c r="E833" s="1"/>
      <c r="F833" s="1"/>
      <c r="G833" s="1"/>
      <c r="H833" s="1"/>
    </row>
    <row r="834" spans="1:8" ht="12.75">
      <c r="A834" s="1"/>
      <c r="B834" s="1"/>
      <c r="C834" s="1"/>
      <c r="D834" s="2"/>
      <c r="E834" s="1"/>
      <c r="F834" s="1"/>
      <c r="G834" s="1"/>
      <c r="H834" s="1"/>
    </row>
    <row r="835" spans="1:8" ht="12.75">
      <c r="A835" s="1"/>
      <c r="B835" s="1"/>
      <c r="C835" s="1"/>
      <c r="D835" s="2"/>
      <c r="E835" s="1"/>
      <c r="F835" s="1"/>
      <c r="G835" s="1"/>
      <c r="H835" s="1"/>
    </row>
    <row r="836" spans="1:8" ht="12.75">
      <c r="A836" s="1"/>
      <c r="B836" s="1"/>
      <c r="C836" s="1"/>
      <c r="D836" s="2"/>
      <c r="E836" s="1"/>
      <c r="F836" s="1"/>
      <c r="G836" s="1"/>
      <c r="H836" s="1"/>
    </row>
    <row r="837" spans="1:8" ht="12.75">
      <c r="A837" s="1"/>
      <c r="B837" s="1"/>
      <c r="C837" s="1"/>
      <c r="D837" s="2"/>
      <c r="E837" s="1"/>
      <c r="F837" s="1"/>
      <c r="G837" s="1"/>
      <c r="H837" s="1"/>
    </row>
    <row r="838" spans="1:8" ht="12.75">
      <c r="A838" s="1"/>
      <c r="B838" s="1"/>
      <c r="C838" s="1"/>
      <c r="D838" s="2"/>
      <c r="E838" s="1"/>
      <c r="F838" s="1"/>
      <c r="G838" s="1"/>
      <c r="H838" s="1"/>
    </row>
    <row r="839" spans="1:8" ht="12.75">
      <c r="A839" s="1"/>
      <c r="B839" s="1"/>
      <c r="C839" s="1"/>
      <c r="D839" s="2"/>
      <c r="E839" s="1"/>
      <c r="F839" s="1"/>
      <c r="G839" s="1"/>
      <c r="H839" s="1"/>
    </row>
    <row r="840" spans="1:8" ht="12.75">
      <c r="A840" s="1"/>
      <c r="B840" s="1"/>
      <c r="C840" s="1"/>
      <c r="D840" s="2"/>
      <c r="E840" s="1"/>
      <c r="F840" s="1"/>
      <c r="G840" s="1"/>
      <c r="H840" s="1"/>
    </row>
    <row r="841" spans="1:8" ht="12.75">
      <c r="A841" s="1"/>
      <c r="B841" s="1"/>
      <c r="C841" s="1"/>
      <c r="D841" s="2"/>
      <c r="E841" s="1"/>
      <c r="F841" s="1"/>
      <c r="G841" s="1"/>
      <c r="H841" s="1"/>
    </row>
    <row r="842" spans="1:8" ht="12.75">
      <c r="A842" s="1"/>
      <c r="B842" s="1"/>
      <c r="C842" s="1"/>
      <c r="D842" s="2"/>
      <c r="E842" s="1"/>
      <c r="F842" s="1"/>
      <c r="G842" s="1"/>
      <c r="H842" s="1"/>
    </row>
    <row r="843" spans="1:8" ht="12.75">
      <c r="A843" s="1"/>
      <c r="B843" s="1"/>
      <c r="C843" s="1"/>
      <c r="D843" s="2"/>
      <c r="E843" s="1"/>
      <c r="F843" s="1"/>
      <c r="G843" s="1"/>
      <c r="H843" s="1"/>
    </row>
    <row r="844" spans="1:8" ht="12.75">
      <c r="A844" s="1"/>
      <c r="B844" s="1"/>
      <c r="C844" s="1"/>
      <c r="D844" s="2"/>
      <c r="E844" s="1"/>
      <c r="F844" s="1"/>
      <c r="G844" s="1"/>
      <c r="H844" s="1"/>
    </row>
    <row r="845" spans="1:8" ht="12.75">
      <c r="A845" s="1"/>
      <c r="B845" s="1"/>
      <c r="C845" s="1"/>
      <c r="D845" s="2"/>
      <c r="E845" s="1"/>
      <c r="F845" s="1"/>
      <c r="G845" s="1"/>
      <c r="H845" s="1"/>
    </row>
    <row r="846" spans="1:8" ht="12.75">
      <c r="A846" s="1"/>
      <c r="B846" s="1"/>
      <c r="C846" s="1"/>
      <c r="D846" s="2"/>
      <c r="E846" s="1"/>
      <c r="F846" s="1"/>
      <c r="G846" s="1"/>
      <c r="H846" s="1"/>
    </row>
    <row r="847" spans="1:8" ht="12.75">
      <c r="A847" s="1"/>
      <c r="B847" s="1"/>
      <c r="C847" s="1"/>
      <c r="D847" s="2"/>
      <c r="E847" s="1"/>
      <c r="F847" s="1"/>
      <c r="G847" s="1"/>
      <c r="H847" s="1"/>
    </row>
    <row r="848" spans="1:8" ht="12.75">
      <c r="A848" s="1"/>
      <c r="B848" s="1"/>
      <c r="C848" s="1"/>
      <c r="D848" s="2"/>
      <c r="E848" s="1"/>
      <c r="F848" s="1"/>
      <c r="G848" s="1"/>
      <c r="H848" s="1"/>
    </row>
    <row r="849" spans="1:8" ht="12.75">
      <c r="A849" s="1"/>
      <c r="B849" s="1"/>
      <c r="C849" s="1"/>
      <c r="D849" s="2"/>
      <c r="E849" s="1"/>
      <c r="F849" s="1"/>
      <c r="G849" s="1"/>
      <c r="H849" s="1"/>
    </row>
    <row r="850" spans="1:8" ht="12.75">
      <c r="A850" s="1"/>
      <c r="B850" s="1"/>
      <c r="C850" s="1"/>
      <c r="D850" s="2"/>
      <c r="E850" s="1"/>
      <c r="F850" s="1"/>
      <c r="G850" s="1"/>
      <c r="H850" s="1"/>
    </row>
    <row r="851" spans="1:8" ht="12.75">
      <c r="A851" s="1"/>
      <c r="B851" s="1"/>
      <c r="C851" s="1"/>
      <c r="D851" s="2"/>
      <c r="E851" s="1"/>
      <c r="F851" s="1"/>
      <c r="G851" s="1"/>
      <c r="H851" s="1"/>
    </row>
    <row r="852" spans="1:8" ht="12.75">
      <c r="A852" s="1"/>
      <c r="B852" s="1"/>
      <c r="C852" s="1"/>
      <c r="D852" s="2"/>
      <c r="E852" s="1"/>
      <c r="F852" s="1"/>
      <c r="G852" s="1"/>
      <c r="H852" s="1"/>
    </row>
    <row r="853" spans="1:8" ht="12.75">
      <c r="A853" s="1"/>
      <c r="B853" s="1"/>
      <c r="C853" s="1"/>
      <c r="D853" s="2"/>
      <c r="E853" s="1"/>
      <c r="F853" s="1"/>
      <c r="G853" s="1"/>
      <c r="H853" s="1"/>
    </row>
    <row r="854" spans="1:8" ht="12.75">
      <c r="A854" s="1"/>
      <c r="B854" s="1"/>
      <c r="C854" s="1"/>
      <c r="D854" s="2"/>
      <c r="E854" s="1"/>
      <c r="F854" s="1"/>
      <c r="G854" s="1"/>
      <c r="H854" s="1"/>
    </row>
    <row r="855" spans="1:8" ht="12.75">
      <c r="A855" s="1"/>
      <c r="B855" s="1"/>
      <c r="C855" s="1"/>
      <c r="D855" s="2"/>
      <c r="E855" s="1"/>
      <c r="F855" s="1"/>
      <c r="G855" s="1"/>
      <c r="H855" s="1"/>
    </row>
    <row r="856" spans="1:8" ht="12.75">
      <c r="A856" s="1"/>
      <c r="B856" s="1"/>
      <c r="C856" s="1"/>
      <c r="D856" s="2"/>
      <c r="E856" s="1"/>
      <c r="F856" s="1"/>
      <c r="G856" s="1"/>
      <c r="H856" s="1"/>
    </row>
    <row r="857" spans="1:8" ht="12.75">
      <c r="A857" s="1"/>
      <c r="B857" s="1"/>
      <c r="C857" s="1"/>
      <c r="D857" s="2"/>
      <c r="E857" s="1"/>
      <c r="F857" s="1"/>
      <c r="G857" s="1"/>
      <c r="H857" s="1"/>
    </row>
    <row r="858" spans="1:8" ht="12.75">
      <c r="A858" s="1"/>
      <c r="B858" s="1"/>
      <c r="C858" s="1"/>
      <c r="D858" s="2"/>
      <c r="E858" s="1"/>
      <c r="F858" s="1"/>
      <c r="G858" s="1"/>
      <c r="H858" s="1"/>
    </row>
    <row r="859" spans="1:8" ht="12.75">
      <c r="A859" s="1"/>
      <c r="B859" s="1"/>
      <c r="C859" s="1"/>
      <c r="D859" s="2"/>
      <c r="E859" s="1"/>
      <c r="F859" s="1"/>
      <c r="G859" s="1"/>
      <c r="H859" s="1"/>
    </row>
    <row r="860" spans="1:8" ht="12.75">
      <c r="A860" s="1"/>
      <c r="B860" s="1"/>
      <c r="C860" s="1"/>
      <c r="D860" s="2"/>
      <c r="E860" s="1"/>
      <c r="F860" s="1"/>
      <c r="G860" s="1"/>
      <c r="H860" s="1"/>
    </row>
    <row r="861" spans="1:8" ht="12.75">
      <c r="A861" s="1"/>
      <c r="B861" s="1"/>
      <c r="C861" s="1"/>
      <c r="D861" s="2"/>
      <c r="E861" s="1"/>
      <c r="F861" s="1"/>
      <c r="G861" s="1"/>
      <c r="H861" s="1"/>
    </row>
    <row r="862" spans="1:8" ht="12.75">
      <c r="A862" s="1"/>
      <c r="B862" s="1"/>
      <c r="C862" s="1"/>
      <c r="D862" s="2"/>
      <c r="E862" s="1"/>
      <c r="F862" s="1"/>
      <c r="G862" s="1"/>
      <c r="H862" s="1"/>
    </row>
    <row r="863" spans="1:8" ht="12.75">
      <c r="A863" s="1"/>
      <c r="B863" s="1"/>
      <c r="C863" s="1"/>
      <c r="D863" s="2"/>
      <c r="E863" s="1"/>
      <c r="F863" s="1"/>
      <c r="G863" s="1"/>
      <c r="H863" s="1"/>
    </row>
    <row r="864" spans="1:8" ht="12.75">
      <c r="A864" s="1"/>
      <c r="B864" s="1"/>
      <c r="C864" s="1"/>
      <c r="D864" s="2"/>
      <c r="E864" s="1"/>
      <c r="F864" s="1"/>
      <c r="G864" s="1"/>
      <c r="H864" s="1"/>
    </row>
    <row r="865" spans="1:8" ht="12.75">
      <c r="A865" s="1"/>
      <c r="B865" s="1"/>
      <c r="C865" s="1"/>
      <c r="D865" s="2"/>
      <c r="E865" s="1"/>
      <c r="F865" s="1"/>
      <c r="G865" s="1"/>
      <c r="H865" s="1"/>
    </row>
    <row r="866" spans="1:8" ht="12.75">
      <c r="A866" s="1"/>
      <c r="B866" s="1"/>
      <c r="C866" s="1"/>
      <c r="D866" s="2"/>
      <c r="E866" s="1"/>
      <c r="F866" s="1"/>
      <c r="G866" s="1"/>
      <c r="H866" s="1"/>
    </row>
    <row r="867" spans="1:8" ht="12.75">
      <c r="A867" s="1"/>
      <c r="B867" s="1"/>
      <c r="C867" s="1"/>
      <c r="D867" s="2"/>
      <c r="E867" s="1"/>
      <c r="F867" s="1"/>
      <c r="G867" s="1"/>
      <c r="H867" s="1"/>
    </row>
    <row r="868" spans="1:8" ht="12.75">
      <c r="A868" s="1"/>
      <c r="B868" s="1"/>
      <c r="C868" s="1"/>
      <c r="D868" s="2"/>
      <c r="E868" s="1"/>
      <c r="F868" s="1"/>
      <c r="G868" s="1"/>
      <c r="H868" s="1"/>
    </row>
    <row r="869" spans="1:8" ht="12.75">
      <c r="A869" s="1"/>
      <c r="B869" s="1"/>
      <c r="C869" s="1"/>
      <c r="D869" s="2"/>
      <c r="E869" s="1"/>
      <c r="F869" s="1"/>
      <c r="G869" s="1"/>
      <c r="H869" s="1"/>
    </row>
    <row r="870" spans="1:8" ht="12.75">
      <c r="A870" s="1"/>
      <c r="B870" s="1"/>
      <c r="C870" s="1"/>
      <c r="D870" s="2"/>
      <c r="E870" s="1"/>
      <c r="F870" s="1"/>
      <c r="G870" s="1"/>
      <c r="H870" s="1"/>
    </row>
    <row r="871" spans="1:8" ht="12.75">
      <c r="A871" s="1"/>
      <c r="B871" s="1"/>
      <c r="C871" s="1"/>
      <c r="D871" s="2"/>
      <c r="E871" s="1"/>
      <c r="F871" s="1"/>
      <c r="G871" s="1"/>
      <c r="H871" s="1"/>
    </row>
    <row r="872" spans="1:8" ht="12.75">
      <c r="A872" s="1"/>
      <c r="B872" s="1"/>
      <c r="C872" s="1"/>
      <c r="D872" s="2"/>
      <c r="E872" s="1"/>
      <c r="F872" s="1"/>
      <c r="G872" s="1"/>
      <c r="H872" s="1"/>
    </row>
    <row r="873" spans="1:8" ht="12.75">
      <c r="A873" s="1"/>
      <c r="B873" s="1"/>
      <c r="C873" s="1"/>
      <c r="D873" s="2"/>
      <c r="E873" s="1"/>
      <c r="F873" s="1"/>
      <c r="G873" s="1"/>
      <c r="H873" s="1"/>
    </row>
    <row r="874" spans="1:8" ht="12.75">
      <c r="A874" s="1"/>
      <c r="B874" s="1"/>
      <c r="C874" s="1"/>
      <c r="D874" s="2"/>
      <c r="E874" s="1"/>
      <c r="F874" s="1"/>
      <c r="G874" s="1"/>
      <c r="H874" s="1"/>
    </row>
    <row r="875" spans="1:8" ht="12.75">
      <c r="A875" s="1"/>
      <c r="B875" s="1"/>
      <c r="C875" s="1"/>
      <c r="D875" s="2"/>
      <c r="E875" s="1"/>
      <c r="F875" s="1"/>
      <c r="G875" s="1"/>
      <c r="H875" s="1"/>
    </row>
    <row r="876" spans="1:8" ht="12.75">
      <c r="A876" s="1"/>
      <c r="B876" s="1"/>
      <c r="C876" s="1"/>
      <c r="D876" s="2"/>
      <c r="E876" s="1"/>
      <c r="F876" s="1"/>
      <c r="G876" s="1"/>
      <c r="H876" s="1"/>
    </row>
    <row r="877" spans="1:8" ht="12.75">
      <c r="A877" s="1"/>
      <c r="B877" s="1"/>
      <c r="C877" s="1"/>
      <c r="D877" s="2"/>
      <c r="E877" s="1"/>
      <c r="F877" s="1"/>
      <c r="G877" s="1"/>
      <c r="H877" s="1"/>
    </row>
    <row r="878" spans="1:8" ht="12.75">
      <c r="A878" s="1"/>
      <c r="B878" s="1"/>
      <c r="C878" s="1"/>
      <c r="D878" s="2"/>
      <c r="E878" s="1"/>
      <c r="F878" s="1"/>
      <c r="G878" s="1"/>
      <c r="H878" s="1"/>
    </row>
    <row r="879" spans="1:8" ht="12.75">
      <c r="A879" s="1"/>
      <c r="B879" s="1"/>
      <c r="C879" s="1"/>
      <c r="D879" s="2"/>
      <c r="E879" s="1"/>
      <c r="F879" s="1"/>
      <c r="G879" s="1"/>
      <c r="H879" s="1"/>
    </row>
    <row r="880" spans="1:8" ht="12.75">
      <c r="A880" s="1"/>
      <c r="B880" s="1"/>
      <c r="C880" s="1"/>
      <c r="D880" s="2"/>
      <c r="E880" s="1"/>
      <c r="F880" s="1"/>
      <c r="G880" s="1"/>
      <c r="H880" s="1"/>
    </row>
    <row r="881" spans="1:8" ht="12.75">
      <c r="A881" s="1"/>
      <c r="B881" s="1"/>
      <c r="C881" s="1"/>
      <c r="D881" s="2"/>
      <c r="E881" s="1"/>
      <c r="F881" s="1"/>
      <c r="G881" s="1"/>
      <c r="H881" s="1"/>
    </row>
    <row r="882" spans="1:8" ht="12.75">
      <c r="A882" s="1"/>
      <c r="B882" s="1"/>
      <c r="C882" s="1"/>
      <c r="D882" s="2"/>
      <c r="E882" s="1"/>
      <c r="F882" s="1"/>
      <c r="G882" s="1"/>
      <c r="H882" s="1"/>
    </row>
    <row r="883" spans="1:8" ht="12.75">
      <c r="A883" s="1"/>
      <c r="B883" s="1"/>
      <c r="C883" s="1"/>
      <c r="D883" s="2"/>
      <c r="E883" s="1"/>
      <c r="F883" s="1"/>
      <c r="G883" s="1"/>
      <c r="H883" s="1"/>
    </row>
    <row r="884" spans="1:8" ht="12.75">
      <c r="A884" s="1"/>
      <c r="B884" s="1"/>
      <c r="C884" s="1"/>
      <c r="D884" s="2"/>
      <c r="E884" s="1"/>
      <c r="F884" s="1"/>
      <c r="G884" s="1"/>
      <c r="H884" s="1"/>
    </row>
    <row r="885" spans="1:8" ht="12.75">
      <c r="A885" s="1"/>
      <c r="B885" s="1"/>
      <c r="C885" s="1"/>
      <c r="D885" s="2"/>
      <c r="E885" s="1"/>
      <c r="F885" s="1"/>
      <c r="G885" s="1"/>
      <c r="H885" s="1"/>
    </row>
    <row r="886" spans="1:8" ht="12.75">
      <c r="A886" s="1"/>
      <c r="B886" s="1"/>
      <c r="C886" s="1"/>
      <c r="D886" s="2"/>
      <c r="E886" s="1"/>
      <c r="F886" s="1"/>
      <c r="G886" s="1"/>
      <c r="H886" s="1"/>
    </row>
    <row r="887" spans="1:8" ht="12.75">
      <c r="A887" s="1"/>
      <c r="B887" s="1"/>
      <c r="C887" s="1"/>
      <c r="D887" s="2"/>
      <c r="E887" s="1"/>
      <c r="F887" s="1"/>
      <c r="G887" s="1"/>
      <c r="H887" s="1"/>
    </row>
    <row r="888" spans="1:8" ht="12.75">
      <c r="A888" s="1"/>
      <c r="B888" s="1"/>
      <c r="C888" s="1"/>
      <c r="D888" s="2"/>
      <c r="E888" s="1"/>
      <c r="F888" s="1"/>
      <c r="G888" s="1"/>
      <c r="H888" s="1"/>
    </row>
    <row r="889" spans="1:8" ht="12.75">
      <c r="A889" s="1"/>
      <c r="B889" s="1"/>
      <c r="C889" s="1"/>
      <c r="D889" s="2"/>
      <c r="E889" s="1"/>
      <c r="F889" s="1"/>
      <c r="G889" s="1"/>
      <c r="H889" s="1"/>
    </row>
    <row r="890" spans="1:8" ht="12.75">
      <c r="A890" s="1"/>
      <c r="B890" s="1"/>
      <c r="C890" s="1"/>
      <c r="D890" s="2"/>
      <c r="E890" s="1"/>
      <c r="F890" s="1"/>
      <c r="G890" s="1"/>
      <c r="H890" s="1"/>
    </row>
    <row r="891" spans="1:8" ht="12.75">
      <c r="A891" s="1"/>
      <c r="B891" s="1"/>
      <c r="C891" s="1"/>
      <c r="D891" s="2"/>
      <c r="E891" s="1"/>
      <c r="F891" s="1"/>
      <c r="G891" s="1"/>
      <c r="H891" s="1"/>
    </row>
    <row r="892" spans="1:8" ht="12.75">
      <c r="A892" s="1"/>
      <c r="B892" s="1"/>
      <c r="C892" s="1"/>
      <c r="D892" s="2"/>
      <c r="E892" s="1"/>
      <c r="F892" s="1"/>
      <c r="G892" s="1"/>
      <c r="H892" s="1"/>
    </row>
    <row r="893" spans="1:8" ht="12.75">
      <c r="A893" s="1"/>
      <c r="B893" s="1"/>
      <c r="C893" s="1"/>
      <c r="D893" s="2"/>
      <c r="E893" s="1"/>
      <c r="F893" s="1"/>
      <c r="G893" s="1"/>
      <c r="H893" s="1"/>
    </row>
    <row r="894" spans="1:8" ht="12.75">
      <c r="A894" s="1"/>
      <c r="B894" s="1"/>
      <c r="C894" s="1"/>
      <c r="D894" s="2"/>
      <c r="E894" s="1"/>
      <c r="F894" s="1"/>
      <c r="G894" s="1"/>
      <c r="H894" s="1"/>
    </row>
    <row r="895" spans="1:8" ht="12.75">
      <c r="A895" s="1"/>
      <c r="B895" s="1"/>
      <c r="C895" s="1"/>
      <c r="D895" s="2"/>
      <c r="E895" s="1"/>
      <c r="F895" s="1"/>
      <c r="G895" s="1"/>
      <c r="H895" s="1"/>
    </row>
    <row r="896" spans="1:8" ht="12.75">
      <c r="A896" s="1"/>
      <c r="B896" s="1"/>
      <c r="C896" s="1"/>
      <c r="D896" s="2"/>
      <c r="E896" s="1"/>
      <c r="F896" s="1"/>
      <c r="G896" s="1"/>
      <c r="H896" s="1"/>
    </row>
    <row r="897" spans="1:8" ht="12.75">
      <c r="A897" s="1"/>
      <c r="B897" s="1"/>
      <c r="C897" s="1"/>
      <c r="D897" s="2"/>
      <c r="E897" s="1"/>
      <c r="F897" s="1"/>
      <c r="G897" s="1"/>
      <c r="H897" s="1"/>
    </row>
    <row r="898" spans="1:8" ht="12.75">
      <c r="A898" s="1"/>
      <c r="B898" s="1"/>
      <c r="C898" s="1"/>
      <c r="D898" s="2"/>
      <c r="E898" s="1"/>
      <c r="F898" s="1"/>
      <c r="G898" s="1"/>
      <c r="H898" s="1"/>
    </row>
    <row r="899" spans="1:8" ht="12.75">
      <c r="A899" s="1"/>
      <c r="B899" s="1"/>
      <c r="C899" s="1"/>
      <c r="D899" s="2"/>
      <c r="E899" s="1"/>
      <c r="F899" s="1"/>
      <c r="G899" s="1"/>
      <c r="H899" s="1"/>
    </row>
    <row r="900" spans="1:8" ht="12.75">
      <c r="A900" s="1"/>
      <c r="B900" s="1"/>
      <c r="C900" s="1"/>
      <c r="D900" s="2"/>
      <c r="E900" s="1"/>
      <c r="F900" s="1"/>
      <c r="G900" s="1"/>
      <c r="H900" s="1"/>
    </row>
    <row r="901" spans="1:8" ht="12.75">
      <c r="A901" s="1"/>
      <c r="B901" s="1"/>
      <c r="C901" s="1"/>
      <c r="D901" s="2"/>
      <c r="E901" s="1"/>
      <c r="F901" s="1"/>
      <c r="G901" s="1"/>
      <c r="H901" s="1"/>
    </row>
    <row r="902" spans="1:8" ht="12.75">
      <c r="A902" s="1"/>
      <c r="B902" s="1"/>
      <c r="C902" s="1"/>
      <c r="D902" s="2"/>
      <c r="E902" s="1"/>
      <c r="F902" s="1"/>
      <c r="G902" s="1"/>
      <c r="H902" s="1"/>
    </row>
    <row r="903" spans="1:8" ht="12.75">
      <c r="A903" s="1"/>
      <c r="B903" s="1"/>
      <c r="C903" s="1"/>
      <c r="D903" s="2"/>
      <c r="E903" s="1"/>
      <c r="F903" s="1"/>
      <c r="G903" s="1"/>
      <c r="H903" s="1"/>
    </row>
    <row r="904" spans="1:8" ht="12.75">
      <c r="A904" s="1"/>
      <c r="B904" s="1"/>
      <c r="C904" s="1"/>
      <c r="D904" s="2"/>
      <c r="E904" s="1"/>
      <c r="F904" s="1"/>
      <c r="G904" s="1"/>
      <c r="H904" s="1"/>
    </row>
    <row r="905" spans="1:8" ht="12.75">
      <c r="A905" s="1"/>
      <c r="B905" s="1"/>
      <c r="C905" s="1"/>
      <c r="D905" s="2"/>
      <c r="E905" s="1"/>
      <c r="F905" s="1"/>
      <c r="G905" s="1"/>
      <c r="H905" s="1"/>
    </row>
    <row r="906" spans="1:8" ht="12.75">
      <c r="A906" s="1"/>
      <c r="B906" s="1"/>
      <c r="C906" s="1"/>
      <c r="D906" s="2"/>
      <c r="E906" s="1"/>
      <c r="F906" s="1"/>
      <c r="G906" s="1"/>
      <c r="H906" s="1"/>
    </row>
    <row r="907" spans="1:8" ht="12.75">
      <c r="A907" s="1"/>
      <c r="B907" s="1"/>
      <c r="C907" s="1"/>
      <c r="D907" s="2"/>
      <c r="E907" s="1"/>
      <c r="F907" s="1"/>
      <c r="G907" s="1"/>
      <c r="H907" s="1"/>
    </row>
    <row r="908" spans="1:8" ht="12.75">
      <c r="A908" s="1"/>
      <c r="B908" s="1"/>
      <c r="C908" s="1"/>
      <c r="D908" s="2"/>
      <c r="E908" s="1"/>
      <c r="F908" s="1"/>
      <c r="G908" s="1"/>
      <c r="H908" s="1"/>
    </row>
    <row r="909" spans="1:8" ht="12.75">
      <c r="A909" s="1"/>
      <c r="B909" s="1"/>
      <c r="C909" s="1"/>
      <c r="D909" s="2"/>
      <c r="E909" s="1"/>
      <c r="F909" s="1"/>
      <c r="G909" s="1"/>
      <c r="H909" s="1"/>
    </row>
    <row r="910" spans="1:8" ht="12.75">
      <c r="A910" s="1"/>
      <c r="B910" s="1"/>
      <c r="C910" s="1"/>
      <c r="D910" s="2"/>
      <c r="E910" s="1"/>
      <c r="F910" s="1"/>
      <c r="G910" s="1"/>
      <c r="H910" s="1"/>
    </row>
    <row r="911" spans="1:8" ht="12.75">
      <c r="A911" s="1"/>
      <c r="B911" s="1"/>
      <c r="C911" s="1"/>
      <c r="D911" s="2"/>
      <c r="E911" s="1"/>
      <c r="F911" s="1"/>
      <c r="G911" s="1"/>
      <c r="H911" s="1"/>
    </row>
    <row r="912" spans="1:8" ht="12.75">
      <c r="A912" s="1"/>
      <c r="B912" s="1"/>
      <c r="C912" s="1"/>
      <c r="D912" s="2"/>
      <c r="E912" s="1"/>
      <c r="F912" s="1"/>
      <c r="G912" s="1"/>
      <c r="H912" s="1"/>
    </row>
    <row r="913" spans="1:8" ht="12.75">
      <c r="A913" s="1"/>
      <c r="B913" s="1"/>
      <c r="C913" s="1"/>
      <c r="D913" s="2"/>
      <c r="E913" s="1"/>
      <c r="F913" s="1"/>
      <c r="G913" s="1"/>
      <c r="H913" s="1"/>
    </row>
    <row r="914" spans="1:8" ht="12.75">
      <c r="A914" s="1"/>
      <c r="B914" s="1"/>
      <c r="C914" s="1"/>
      <c r="D914" s="2"/>
      <c r="E914" s="1"/>
      <c r="F914" s="1"/>
      <c r="G914" s="1"/>
      <c r="H914" s="1"/>
    </row>
    <row r="915" spans="1:8" ht="12.75">
      <c r="A915" s="1"/>
      <c r="B915" s="1"/>
      <c r="C915" s="1"/>
      <c r="D915" s="2"/>
      <c r="E915" s="1"/>
      <c r="F915" s="1"/>
      <c r="G915" s="1"/>
      <c r="H915" s="1"/>
    </row>
    <row r="916" spans="1:8" ht="12.75">
      <c r="A916" s="1"/>
      <c r="B916" s="1"/>
      <c r="C916" s="1"/>
      <c r="D916" s="2"/>
      <c r="E916" s="1"/>
      <c r="F916" s="1"/>
      <c r="G916" s="1"/>
      <c r="H916" s="1"/>
    </row>
    <row r="917" spans="1:8" ht="12.75">
      <c r="A917" s="1"/>
      <c r="B917" s="1"/>
      <c r="C917" s="1"/>
      <c r="D917" s="2"/>
      <c r="E917" s="1"/>
      <c r="F917" s="1"/>
      <c r="G917" s="1"/>
      <c r="H917" s="1"/>
    </row>
    <row r="918" spans="1:8" ht="12.75">
      <c r="A918" s="1"/>
      <c r="B918" s="1"/>
      <c r="C918" s="1"/>
      <c r="D918" s="2"/>
      <c r="E918" s="1"/>
      <c r="F918" s="1"/>
      <c r="G918" s="1"/>
      <c r="H918" s="1"/>
    </row>
    <row r="919" spans="1:8" ht="12.75">
      <c r="A919" s="1"/>
      <c r="B919" s="1"/>
      <c r="C919" s="1"/>
      <c r="D919" s="2"/>
      <c r="E919" s="1"/>
      <c r="F919" s="1"/>
      <c r="G919" s="1"/>
      <c r="H919" s="1"/>
    </row>
    <row r="920" spans="1:8" ht="12.75">
      <c r="A920" s="1"/>
      <c r="B920" s="1"/>
      <c r="C920" s="1"/>
      <c r="D920" s="2"/>
      <c r="E920" s="1"/>
      <c r="F920" s="1"/>
      <c r="G920" s="1"/>
      <c r="H920" s="1"/>
    </row>
    <row r="921" spans="1:8" ht="12.75">
      <c r="A921" s="1"/>
      <c r="B921" s="1"/>
      <c r="C921" s="1"/>
      <c r="D921" s="2"/>
      <c r="E921" s="1"/>
      <c r="F921" s="1"/>
      <c r="G921" s="1"/>
      <c r="H921" s="1"/>
    </row>
    <row r="922" spans="1:8" ht="12.75">
      <c r="A922" s="1"/>
      <c r="B922" s="1"/>
      <c r="C922" s="1"/>
      <c r="D922" s="2"/>
      <c r="E922" s="1"/>
      <c r="F922" s="1"/>
      <c r="G922" s="1"/>
      <c r="H922" s="1"/>
    </row>
    <row r="923" spans="1:8" ht="12.75">
      <c r="A923" s="1"/>
      <c r="B923" s="1"/>
      <c r="C923" s="1"/>
      <c r="D923" s="2"/>
      <c r="E923" s="1"/>
      <c r="F923" s="1"/>
      <c r="G923" s="1"/>
      <c r="H923" s="1"/>
    </row>
    <row r="924" spans="1:8" ht="12.75">
      <c r="A924" s="1"/>
      <c r="B924" s="1"/>
      <c r="C924" s="1"/>
      <c r="D924" s="2"/>
      <c r="E924" s="1"/>
      <c r="F924" s="1"/>
      <c r="G924" s="1"/>
      <c r="H924" s="1"/>
    </row>
    <row r="925" spans="1:8" ht="12.75">
      <c r="A925" s="1"/>
      <c r="B925" s="1"/>
      <c r="C925" s="1"/>
      <c r="D925" s="2"/>
      <c r="E925" s="1"/>
      <c r="F925" s="1"/>
      <c r="G925" s="1"/>
      <c r="H925" s="1"/>
    </row>
    <row r="926" spans="1:8" ht="12.75">
      <c r="A926" s="1"/>
      <c r="B926" s="1"/>
      <c r="C926" s="1"/>
      <c r="D926" s="2"/>
      <c r="E926" s="1"/>
      <c r="F926" s="1"/>
      <c r="G926" s="1"/>
      <c r="H926" s="1"/>
    </row>
    <row r="927" spans="1:8" ht="12.75">
      <c r="A927" s="1"/>
      <c r="B927" s="1"/>
      <c r="C927" s="1"/>
      <c r="D927" s="2"/>
      <c r="E927" s="1"/>
      <c r="F927" s="1"/>
      <c r="G927" s="1"/>
      <c r="H927" s="1"/>
    </row>
    <row r="928" spans="1:8" ht="12.75">
      <c r="A928" s="1"/>
      <c r="B928" s="1"/>
      <c r="C928" s="1"/>
      <c r="D928" s="2"/>
      <c r="E928" s="1"/>
      <c r="F928" s="1"/>
      <c r="G928" s="1"/>
      <c r="H928" s="1"/>
    </row>
    <row r="929" spans="1:8" ht="12.75">
      <c r="A929" s="1"/>
      <c r="B929" s="1"/>
      <c r="C929" s="1"/>
      <c r="D929" s="2"/>
      <c r="E929" s="1"/>
      <c r="F929" s="1"/>
      <c r="G929" s="1"/>
      <c r="H929" s="1"/>
    </row>
    <row r="930" spans="1:8" ht="12.75">
      <c r="A930" s="1"/>
      <c r="B930" s="1"/>
      <c r="C930" s="1"/>
      <c r="D930" s="2"/>
      <c r="E930" s="1"/>
      <c r="F930" s="1"/>
      <c r="G930" s="1"/>
      <c r="H930" s="1"/>
    </row>
    <row r="931" spans="1:8" ht="12.75">
      <c r="A931" s="1"/>
      <c r="B931" s="1"/>
      <c r="C931" s="1"/>
      <c r="D931" s="2"/>
      <c r="E931" s="1"/>
      <c r="F931" s="1"/>
      <c r="G931" s="1"/>
      <c r="H931" s="1"/>
    </row>
    <row r="932" spans="1:8" ht="12.75">
      <c r="A932" s="1"/>
      <c r="B932" s="1"/>
      <c r="C932" s="1"/>
      <c r="D932" s="2"/>
      <c r="E932" s="1"/>
      <c r="F932" s="1"/>
      <c r="G932" s="1"/>
      <c r="H932" s="1"/>
    </row>
    <row r="933" spans="1:8" ht="12.75">
      <c r="A933" s="1"/>
      <c r="B933" s="1"/>
      <c r="C933" s="1"/>
      <c r="D933" s="2"/>
      <c r="E933" s="1"/>
      <c r="F933" s="1"/>
      <c r="G933" s="1"/>
      <c r="H933" s="1"/>
    </row>
    <row r="934" spans="1:8" ht="12.75">
      <c r="A934" s="1"/>
      <c r="B934" s="1"/>
      <c r="C934" s="1"/>
      <c r="D934" s="2"/>
      <c r="E934" s="1"/>
      <c r="F934" s="1"/>
      <c r="G934" s="1"/>
      <c r="H934" s="1"/>
    </row>
    <row r="935" spans="1:8" ht="12.75">
      <c r="A935" s="1"/>
      <c r="B935" s="1"/>
      <c r="C935" s="1"/>
      <c r="D935" s="2"/>
      <c r="E935" s="1"/>
      <c r="F935" s="1"/>
      <c r="G935" s="1"/>
      <c r="H935" s="1"/>
    </row>
    <row r="936" spans="1:8" ht="12.75">
      <c r="A936" s="1"/>
      <c r="B936" s="1"/>
      <c r="C936" s="1"/>
      <c r="D936" s="2"/>
      <c r="E936" s="1"/>
      <c r="F936" s="1"/>
      <c r="G936" s="1"/>
      <c r="H936" s="1"/>
    </row>
    <row r="937" spans="1:8" ht="12.75">
      <c r="A937" s="1"/>
      <c r="B937" s="1"/>
      <c r="C937" s="1"/>
      <c r="D937" s="2"/>
      <c r="E937" s="1"/>
      <c r="F937" s="1"/>
      <c r="G937" s="1"/>
      <c r="H937" s="1"/>
    </row>
    <row r="938" spans="1:8" ht="12.75">
      <c r="A938" s="1"/>
      <c r="B938" s="1"/>
      <c r="C938" s="1"/>
      <c r="D938" s="2"/>
      <c r="E938" s="1"/>
      <c r="F938" s="1"/>
      <c r="G938" s="1"/>
      <c r="H938" s="1"/>
    </row>
    <row r="939" spans="1:8" ht="12.75">
      <c r="A939" s="1"/>
      <c r="B939" s="1"/>
      <c r="C939" s="1"/>
      <c r="D939" s="2"/>
      <c r="E939" s="1"/>
      <c r="F939" s="1"/>
      <c r="G939" s="1"/>
      <c r="H939" s="1"/>
    </row>
    <row r="940" spans="1:8" ht="12.75">
      <c r="A940" s="1"/>
      <c r="B940" s="1"/>
      <c r="C940" s="1"/>
      <c r="D940" s="2"/>
      <c r="E940" s="1"/>
      <c r="F940" s="1"/>
      <c r="G940" s="1"/>
      <c r="H940" s="1"/>
    </row>
    <row r="941" spans="1:8" ht="12.75">
      <c r="A941" s="1"/>
      <c r="B941" s="1"/>
      <c r="C941" s="1"/>
      <c r="D941" s="2"/>
      <c r="E941" s="1"/>
      <c r="F941" s="1"/>
      <c r="G941" s="1"/>
      <c r="H941" s="1"/>
    </row>
    <row r="942" spans="1:8" ht="12.75">
      <c r="A942" s="1"/>
      <c r="B942" s="1"/>
      <c r="C942" s="1"/>
      <c r="D942" s="2"/>
      <c r="E942" s="1"/>
      <c r="F942" s="1"/>
      <c r="G942" s="1"/>
      <c r="H942" s="1"/>
    </row>
    <row r="943" spans="1:8" ht="12.75">
      <c r="A943" s="1"/>
      <c r="B943" s="1"/>
      <c r="C943" s="1"/>
      <c r="D943" s="2"/>
      <c r="E943" s="1"/>
      <c r="F943" s="1"/>
      <c r="G943" s="1"/>
      <c r="H943" s="1"/>
    </row>
    <row r="944" spans="1:8" ht="12.75">
      <c r="A944" s="1"/>
      <c r="B944" s="1"/>
      <c r="C944" s="1"/>
      <c r="D944" s="2"/>
      <c r="E944" s="1"/>
      <c r="F944" s="1"/>
      <c r="G944" s="1"/>
      <c r="H944" s="1"/>
    </row>
    <row r="945" spans="1:8" ht="12.75">
      <c r="A945" s="1"/>
      <c r="B945" s="1"/>
      <c r="C945" s="1"/>
      <c r="D945" s="2"/>
      <c r="E945" s="1"/>
      <c r="F945" s="1"/>
      <c r="G945" s="1"/>
      <c r="H945" s="1"/>
    </row>
    <row r="946" spans="1:8" ht="12.75">
      <c r="A946" s="1"/>
      <c r="B946" s="1"/>
      <c r="C946" s="1"/>
      <c r="D946" s="2"/>
      <c r="E946" s="1"/>
      <c r="F946" s="1"/>
      <c r="G946" s="1"/>
      <c r="H946" s="1"/>
    </row>
    <row r="947" spans="1:8" ht="12.75">
      <c r="A947" s="1"/>
      <c r="B947" s="1"/>
      <c r="C947" s="1"/>
      <c r="D947" s="2"/>
      <c r="E947" s="1"/>
      <c r="F947" s="1"/>
      <c r="G947" s="1"/>
      <c r="H947" s="1"/>
    </row>
    <row r="948" spans="1:8" ht="12.75">
      <c r="A948" s="1"/>
      <c r="B948" s="1"/>
      <c r="C948" s="1"/>
      <c r="D948" s="2"/>
      <c r="E948" s="1"/>
      <c r="F948" s="1"/>
      <c r="G948" s="1"/>
      <c r="H948" s="1"/>
    </row>
    <row r="949" spans="1:8" ht="12.75">
      <c r="A949" s="1"/>
      <c r="B949" s="1"/>
      <c r="C949" s="1"/>
      <c r="D949" s="2"/>
      <c r="E949" s="1"/>
      <c r="F949" s="1"/>
      <c r="G949" s="1"/>
      <c r="H949" s="1"/>
    </row>
    <row r="950" spans="1:8" ht="12.75">
      <c r="A950" s="1"/>
      <c r="B950" s="1"/>
      <c r="C950" s="1"/>
      <c r="D950" s="2"/>
      <c r="E950" s="1"/>
      <c r="F950" s="1"/>
      <c r="G950" s="1"/>
      <c r="H950" s="1"/>
    </row>
    <row r="951" spans="1:8" ht="12.75">
      <c r="A951" s="1"/>
      <c r="B951" s="1"/>
      <c r="C951" s="1"/>
      <c r="D951" s="2"/>
      <c r="E951" s="1"/>
      <c r="F951" s="1"/>
      <c r="G951" s="1"/>
      <c r="H951" s="1"/>
    </row>
    <row r="952" spans="1:8" ht="12.75">
      <c r="A952" s="1"/>
      <c r="B952" s="1"/>
      <c r="C952" s="1"/>
      <c r="D952" s="2"/>
      <c r="E952" s="1"/>
      <c r="F952" s="1"/>
      <c r="G952" s="1"/>
      <c r="H952" s="1"/>
    </row>
    <row r="953" spans="1:8" ht="12.75">
      <c r="A953" s="1"/>
      <c r="B953" s="1"/>
      <c r="C953" s="1"/>
      <c r="D953" s="2"/>
      <c r="E953" s="1"/>
      <c r="F953" s="1"/>
      <c r="G953" s="1"/>
      <c r="H953" s="1"/>
    </row>
    <row r="954" spans="1:8" ht="12.75">
      <c r="A954" s="1"/>
      <c r="B954" s="1"/>
      <c r="C954" s="1"/>
      <c r="D954" s="2"/>
      <c r="E954" s="1"/>
      <c r="F954" s="1"/>
      <c r="G954" s="1"/>
      <c r="H954" s="1"/>
    </row>
    <row r="955" spans="1:8" ht="12.75">
      <c r="A955" s="1"/>
      <c r="B955" s="1"/>
      <c r="C955" s="1"/>
      <c r="D955" s="2"/>
      <c r="E955" s="1"/>
      <c r="F955" s="1"/>
      <c r="G955" s="1"/>
      <c r="H955" s="1"/>
    </row>
    <row r="956" spans="1:8" ht="12.75">
      <c r="A956" s="1"/>
      <c r="B956" s="1"/>
      <c r="C956" s="1"/>
      <c r="D956" s="2"/>
      <c r="E956" s="1"/>
      <c r="F956" s="1"/>
      <c r="G956" s="1"/>
      <c r="H956" s="1"/>
    </row>
    <row r="957" spans="1:8" ht="12.75">
      <c r="A957" s="1"/>
      <c r="B957" s="1"/>
      <c r="C957" s="1"/>
      <c r="D957" s="2"/>
      <c r="E957" s="1"/>
      <c r="F957" s="1"/>
      <c r="G957" s="1"/>
      <c r="H957" s="1"/>
    </row>
    <row r="958" spans="1:8" ht="12.75">
      <c r="A958" s="1"/>
      <c r="B958" s="1"/>
      <c r="C958" s="1"/>
      <c r="D958" s="2"/>
      <c r="E958" s="1"/>
      <c r="F958" s="1"/>
      <c r="G958" s="1"/>
      <c r="H958" s="1"/>
    </row>
    <row r="959" spans="1:8" ht="12.75">
      <c r="A959" s="1"/>
      <c r="B959" s="1"/>
      <c r="C959" s="1"/>
      <c r="D959" s="2"/>
      <c r="E959" s="1"/>
      <c r="F959" s="1"/>
      <c r="G959" s="1"/>
      <c r="H959" s="1"/>
    </row>
    <row r="960" spans="1:8" ht="12.75">
      <c r="A960" s="1"/>
      <c r="B960" s="1"/>
      <c r="C960" s="1"/>
      <c r="D960" s="2"/>
      <c r="E960" s="1"/>
      <c r="F960" s="1"/>
      <c r="G960" s="1"/>
      <c r="H960" s="1"/>
    </row>
    <row r="961" spans="1:8" ht="12.75">
      <c r="A961" s="1"/>
      <c r="B961" s="1"/>
      <c r="C961" s="1"/>
      <c r="D961" s="2"/>
      <c r="E961" s="1"/>
      <c r="F961" s="1"/>
      <c r="G961" s="1"/>
      <c r="H961" s="1"/>
    </row>
    <row r="962" spans="1:8" ht="12.75">
      <c r="A962" s="1"/>
      <c r="B962" s="1"/>
      <c r="C962" s="1"/>
      <c r="D962" s="2"/>
      <c r="E962" s="1"/>
      <c r="F962" s="1"/>
      <c r="G962" s="1"/>
      <c r="H962" s="1"/>
    </row>
    <row r="963" spans="1:8" ht="12.75">
      <c r="A963" s="1"/>
      <c r="B963" s="1"/>
      <c r="C963" s="1"/>
      <c r="D963" s="2"/>
      <c r="E963" s="1"/>
      <c r="F963" s="1"/>
      <c r="G963" s="1"/>
      <c r="H963" s="1"/>
    </row>
    <row r="964" spans="1:8" ht="12.75">
      <c r="A964" s="1"/>
      <c r="B964" s="1"/>
      <c r="C964" s="1"/>
      <c r="D964" s="2"/>
      <c r="E964" s="1"/>
      <c r="F964" s="1"/>
      <c r="G964" s="1"/>
      <c r="H964" s="1"/>
    </row>
    <row r="965" spans="1:8" ht="12.75">
      <c r="A965" s="1"/>
      <c r="B965" s="1"/>
      <c r="C965" s="1"/>
      <c r="D965" s="2"/>
      <c r="E965" s="1"/>
      <c r="F965" s="1"/>
      <c r="G965" s="1"/>
      <c r="H965" s="1"/>
    </row>
    <row r="966" spans="1:8" ht="12.75">
      <c r="A966" s="1"/>
      <c r="B966" s="1"/>
      <c r="C966" s="1"/>
      <c r="D966" s="2"/>
      <c r="E966" s="1"/>
      <c r="F966" s="1"/>
      <c r="G966" s="1"/>
      <c r="H966" s="1"/>
    </row>
    <row r="967" spans="1:8" ht="12.75">
      <c r="A967" s="1"/>
      <c r="B967" s="1"/>
      <c r="C967" s="1"/>
      <c r="D967" s="2"/>
      <c r="E967" s="1"/>
      <c r="F967" s="1"/>
      <c r="G967" s="1"/>
      <c r="H967" s="1"/>
    </row>
    <row r="968" spans="1:8" ht="12.75">
      <c r="A968" s="1"/>
      <c r="B968" s="1"/>
      <c r="C968" s="1"/>
      <c r="D968" s="2"/>
      <c r="E968" s="1"/>
      <c r="F968" s="1"/>
      <c r="G968" s="1"/>
      <c r="H968" s="1"/>
    </row>
    <row r="969" spans="1:8" ht="12.75">
      <c r="A969" s="1"/>
      <c r="B969" s="1"/>
      <c r="C969" s="1"/>
      <c r="D969" s="2"/>
      <c r="E969" s="1"/>
      <c r="F969" s="1"/>
      <c r="G969" s="1"/>
      <c r="H969" s="1"/>
    </row>
    <row r="970" spans="1:8" ht="12.75">
      <c r="A970" s="1"/>
      <c r="B970" s="1"/>
      <c r="C970" s="1"/>
      <c r="D970" s="2"/>
      <c r="E970" s="1"/>
      <c r="F970" s="1"/>
      <c r="G970" s="1"/>
      <c r="H970" s="1"/>
    </row>
    <row r="971" spans="1:8" ht="12.75">
      <c r="A971" s="1"/>
      <c r="B971" s="1"/>
      <c r="C971" s="1"/>
      <c r="D971" s="2"/>
      <c r="E971" s="1"/>
      <c r="F971" s="1"/>
      <c r="G971" s="1"/>
      <c r="H971" s="1"/>
    </row>
    <row r="972" spans="1:8" ht="12.75">
      <c r="A972" s="1"/>
      <c r="B972" s="1"/>
      <c r="C972" s="1"/>
      <c r="D972" s="2"/>
      <c r="E972" s="1"/>
      <c r="F972" s="1"/>
      <c r="G972" s="1"/>
      <c r="H972" s="1"/>
    </row>
    <row r="973" spans="1:8" ht="12.75">
      <c r="A973" s="1"/>
      <c r="B973" s="1"/>
      <c r="C973" s="1"/>
      <c r="D973" s="2"/>
      <c r="E973" s="1"/>
      <c r="F973" s="1"/>
      <c r="G973" s="1"/>
      <c r="H973" s="1"/>
    </row>
    <row r="974" spans="1:8" ht="12.75">
      <c r="A974" s="1"/>
      <c r="B974" s="1"/>
      <c r="C974" s="1"/>
      <c r="D974" s="2"/>
      <c r="E974" s="1"/>
      <c r="F974" s="1"/>
      <c r="G974" s="1"/>
      <c r="H974" s="1"/>
    </row>
    <row r="975" spans="1:8" ht="12.75">
      <c r="A975" s="1"/>
      <c r="B975" s="1"/>
      <c r="C975" s="1"/>
      <c r="D975" s="2"/>
      <c r="E975" s="1"/>
      <c r="F975" s="1"/>
      <c r="G975" s="1"/>
      <c r="H975" s="1"/>
    </row>
    <row r="976" spans="1:8" ht="12.75">
      <c r="A976" s="1"/>
      <c r="B976" s="1"/>
      <c r="C976" s="1"/>
      <c r="D976" s="2"/>
      <c r="E976" s="1"/>
      <c r="F976" s="1"/>
      <c r="G976" s="1"/>
      <c r="H976" s="1"/>
    </row>
    <row r="977" spans="1:8" ht="12.75">
      <c r="A977" s="1"/>
      <c r="B977" s="1"/>
      <c r="C977" s="1"/>
      <c r="D977" s="2"/>
      <c r="E977" s="1"/>
      <c r="F977" s="1"/>
      <c r="G977" s="1"/>
      <c r="H977" s="1"/>
    </row>
    <row r="978" spans="1:8" ht="12.75">
      <c r="A978" s="1"/>
      <c r="B978" s="1"/>
      <c r="C978" s="1"/>
      <c r="D978" s="2"/>
      <c r="E978" s="1"/>
      <c r="F978" s="1"/>
      <c r="G978" s="1"/>
      <c r="H978" s="1"/>
    </row>
    <row r="979" spans="1:8" ht="12.75">
      <c r="A979" s="1"/>
      <c r="B979" s="1"/>
      <c r="C979" s="1"/>
      <c r="D979" s="2"/>
      <c r="E979" s="1"/>
      <c r="F979" s="1"/>
      <c r="G979" s="1"/>
      <c r="H979" s="1"/>
    </row>
    <row r="980" spans="1:8" ht="12.75">
      <c r="A980" s="1"/>
      <c r="B980" s="1"/>
      <c r="C980" s="1"/>
      <c r="D980" s="2"/>
      <c r="E980" s="1"/>
      <c r="F980" s="1"/>
      <c r="G980" s="1"/>
      <c r="H980" s="1"/>
    </row>
    <row r="981" spans="1:8" ht="12.75">
      <c r="A981" s="1"/>
      <c r="B981" s="1"/>
      <c r="C981" s="1"/>
      <c r="D981" s="2"/>
      <c r="E981" s="1"/>
      <c r="F981" s="1"/>
      <c r="G981" s="1"/>
      <c r="H981" s="1"/>
    </row>
    <row r="982" spans="1:8" ht="12.75">
      <c r="A982" s="1"/>
      <c r="B982" s="1"/>
      <c r="C982" s="1"/>
      <c r="D982" s="2"/>
      <c r="E982" s="1"/>
      <c r="F982" s="1"/>
      <c r="G982" s="1"/>
      <c r="H982" s="1"/>
    </row>
    <row r="983" spans="1:8" ht="12.75">
      <c r="A983" s="1"/>
      <c r="B983" s="1"/>
      <c r="C983" s="1"/>
      <c r="D983" s="2"/>
      <c r="E983" s="1"/>
      <c r="F983" s="1"/>
      <c r="G983" s="1"/>
      <c r="H983" s="1"/>
    </row>
    <row r="984" spans="1:8" ht="12.75">
      <c r="A984" s="1"/>
      <c r="B984" s="1"/>
      <c r="C984" s="1"/>
      <c r="D984" s="2"/>
      <c r="E984" s="1"/>
      <c r="F984" s="1"/>
      <c r="G984" s="1"/>
      <c r="H984" s="1"/>
    </row>
    <row r="985" spans="1:8" ht="12.75">
      <c r="A985" s="1"/>
      <c r="B985" s="1"/>
      <c r="C985" s="1"/>
      <c r="D985" s="2"/>
      <c r="E985" s="1"/>
      <c r="F985" s="1"/>
      <c r="G985" s="1"/>
      <c r="H985" s="1"/>
    </row>
    <row r="986" spans="1:8" ht="12.75">
      <c r="A986" s="1"/>
      <c r="B986" s="1"/>
      <c r="C986" s="1"/>
      <c r="D986" s="2"/>
      <c r="E986" s="1"/>
      <c r="F986" s="1"/>
      <c r="G986" s="1"/>
      <c r="H986" s="1"/>
    </row>
    <row r="987" spans="1:8" ht="12.75">
      <c r="A987" s="1"/>
      <c r="B987" s="1"/>
      <c r="C987" s="1"/>
      <c r="D987" s="2"/>
      <c r="E987" s="1"/>
      <c r="F987" s="1"/>
      <c r="G987" s="1"/>
      <c r="H987" s="1"/>
    </row>
    <row r="988" spans="1:8" ht="12.75">
      <c r="A988" s="1"/>
      <c r="B988" s="1"/>
      <c r="C988" s="1"/>
      <c r="D988" s="2"/>
      <c r="E988" s="1"/>
      <c r="F988" s="1"/>
      <c r="G988" s="1"/>
      <c r="H988" s="1"/>
    </row>
    <row r="989" spans="1:8" ht="12.75">
      <c r="A989" s="1"/>
      <c r="B989" s="1"/>
      <c r="C989" s="1"/>
      <c r="D989" s="2"/>
      <c r="E989" s="1"/>
      <c r="F989" s="1"/>
      <c r="G989" s="1"/>
      <c r="H989" s="1"/>
    </row>
    <row r="990" spans="1:8" ht="12.75">
      <c r="A990" s="1"/>
      <c r="B990" s="1"/>
      <c r="C990" s="1"/>
      <c r="D990" s="2"/>
      <c r="E990" s="1"/>
      <c r="F990" s="1"/>
      <c r="G990" s="1"/>
      <c r="H990" s="1"/>
    </row>
    <row r="991" spans="1:8" ht="12.75">
      <c r="A991" s="1"/>
      <c r="B991" s="1"/>
      <c r="C991" s="1"/>
      <c r="D991" s="2"/>
      <c r="E991" s="1"/>
      <c r="F991" s="1"/>
      <c r="G991" s="1"/>
      <c r="H991" s="1"/>
    </row>
    <row r="992" spans="1:8" ht="12.75">
      <c r="A992" s="1"/>
      <c r="B992" s="1"/>
      <c r="C992" s="1"/>
      <c r="D992" s="2"/>
      <c r="E992" s="1"/>
      <c r="F992" s="1"/>
      <c r="G992" s="1"/>
      <c r="H992" s="1"/>
    </row>
    <row r="993" spans="1:8" ht="12.75">
      <c r="A993" s="1"/>
      <c r="B993" s="1"/>
      <c r="C993" s="1"/>
      <c r="D993" s="2"/>
      <c r="E993" s="1"/>
      <c r="F993" s="1"/>
      <c r="G993" s="1"/>
      <c r="H993" s="1"/>
    </row>
    <row r="994" spans="1:8" ht="12.75">
      <c r="A994" s="1"/>
      <c r="B994" s="1"/>
      <c r="C994" s="1"/>
      <c r="D994" s="2"/>
      <c r="E994" s="1"/>
      <c r="F994" s="1"/>
      <c r="G994" s="1"/>
      <c r="H994" s="1"/>
    </row>
    <row r="995" spans="1:8" ht="12.75">
      <c r="A995" s="1"/>
      <c r="B995" s="1"/>
      <c r="C995" s="1"/>
      <c r="D995" s="2"/>
      <c r="E995" s="1"/>
      <c r="F995" s="1"/>
      <c r="G995" s="1"/>
      <c r="H995" s="1"/>
    </row>
    <row r="996" spans="1:8" ht="12.75">
      <c r="A996" s="1"/>
      <c r="B996" s="1"/>
      <c r="C996" s="1"/>
      <c r="D996" s="2"/>
      <c r="E996" s="1"/>
      <c r="F996" s="1"/>
      <c r="G996" s="1"/>
      <c r="H996" s="1"/>
    </row>
    <row r="997" spans="1:8" ht="12.75">
      <c r="A997" s="1"/>
      <c r="B997" s="1"/>
      <c r="C997" s="1"/>
      <c r="D997" s="2"/>
      <c r="E997" s="1"/>
      <c r="F997" s="1"/>
      <c r="G997" s="1"/>
      <c r="H997" s="1"/>
    </row>
    <row r="998" spans="1:8" ht="12.75">
      <c r="A998" s="1"/>
      <c r="B998" s="1"/>
      <c r="C998" s="1"/>
      <c r="D998" s="2"/>
      <c r="E998" s="1"/>
      <c r="F998" s="1"/>
      <c r="G998" s="1"/>
      <c r="H998" s="1"/>
    </row>
    <row r="999" spans="1:8" ht="12.75">
      <c r="A999" s="1"/>
      <c r="B999" s="1"/>
      <c r="C999" s="1"/>
      <c r="D999" s="2"/>
      <c r="E999" s="1"/>
      <c r="F999" s="1"/>
      <c r="G999" s="1"/>
      <c r="H999" s="1"/>
    </row>
    <row r="1000" spans="1:8" ht="12.75">
      <c r="A1000" s="1"/>
      <c r="B1000" s="1"/>
      <c r="C1000" s="1"/>
      <c r="D1000" s="2"/>
      <c r="E1000" s="1"/>
      <c r="F1000" s="1"/>
      <c r="G1000" s="1"/>
      <c r="H1000" s="1"/>
    </row>
  </sheetData>
  <conditionalFormatting sqref="H1:H584 H606:H1000">
    <cfRule type="cellIs" dxfId="4" priority="4" operator="equal">
      <formula>"Starożytny"</formula>
    </cfRule>
    <cfRule type="cellIs" dxfId="3" priority="5" operator="equal">
      <formula>"Legendarny"</formula>
    </cfRule>
  </conditionalFormatting>
  <conditionalFormatting sqref="H2:H584">
    <cfRule type="cellIs" dxfId="2" priority="1" operator="equal">
      <formula>"Pospolity"</formula>
    </cfRule>
    <cfRule type="cellIs" dxfId="1" priority="2" operator="equal">
      <formula>"Niepospolity"</formula>
    </cfRule>
    <cfRule type="cellIs" dxfId="0" priority="3" operator="equal">
      <formula>"Rzadki"</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topLeftCell="A91" workbookViewId="0">
      <selection sqref="A1:A3"/>
    </sheetView>
  </sheetViews>
  <sheetFormatPr defaultColWidth="12.5703125" defaultRowHeight="15.75" customHeight="1"/>
  <cols>
    <col min="1" max="1" width="15.28515625" customWidth="1"/>
    <col min="2" max="2" width="11.5703125" customWidth="1"/>
    <col min="3" max="3" width="8.140625" customWidth="1"/>
    <col min="4" max="8" width="39.7109375" customWidth="1"/>
  </cols>
  <sheetData>
    <row r="1" spans="1:9" ht="15.75" customHeight="1">
      <c r="A1" s="115" t="s">
        <v>1009</v>
      </c>
      <c r="B1" s="113" t="s">
        <v>1010</v>
      </c>
      <c r="C1" s="100" t="s">
        <v>1011</v>
      </c>
      <c r="D1" s="106"/>
      <c r="E1" s="106"/>
      <c r="F1" s="106"/>
      <c r="G1" s="106"/>
      <c r="H1" s="106"/>
      <c r="I1" s="101"/>
    </row>
    <row r="2" spans="1:9" ht="15.75" customHeight="1">
      <c r="A2" s="109"/>
      <c r="B2" s="87"/>
      <c r="C2" s="113" t="s">
        <v>1012</v>
      </c>
      <c r="D2" s="100" t="s">
        <v>1013</v>
      </c>
      <c r="E2" s="106"/>
      <c r="F2" s="106"/>
      <c r="G2" s="106"/>
      <c r="H2" s="101"/>
      <c r="I2" s="113" t="s">
        <v>1014</v>
      </c>
    </row>
    <row r="3" spans="1:9" ht="15.75" customHeight="1">
      <c r="A3" s="109"/>
      <c r="B3" s="114"/>
      <c r="C3" s="114"/>
      <c r="D3" s="35">
        <v>44206</v>
      </c>
      <c r="E3" s="35">
        <v>44520</v>
      </c>
      <c r="F3" s="36" t="s">
        <v>1015</v>
      </c>
      <c r="G3" s="36" t="s">
        <v>1016</v>
      </c>
      <c r="H3" s="36" t="s">
        <v>1017</v>
      </c>
      <c r="I3" s="114"/>
    </row>
    <row r="4" spans="1:9" ht="15.75" customHeight="1">
      <c r="A4" s="116" t="s">
        <v>884</v>
      </c>
      <c r="B4" s="116" t="s">
        <v>973</v>
      </c>
      <c r="C4" s="36" t="s">
        <v>1018</v>
      </c>
      <c r="D4" s="36" t="s">
        <v>1019</v>
      </c>
      <c r="E4" s="36" t="s">
        <v>1020</v>
      </c>
      <c r="F4" s="36" t="s">
        <v>1021</v>
      </c>
      <c r="G4" s="36" t="s">
        <v>1022</v>
      </c>
      <c r="H4" s="36" t="s">
        <v>1023</v>
      </c>
      <c r="I4" s="38">
        <v>1</v>
      </c>
    </row>
    <row r="5" spans="1:9" ht="15.75" customHeight="1">
      <c r="A5" s="87"/>
      <c r="B5" s="87"/>
      <c r="C5" s="36" t="s">
        <v>1024</v>
      </c>
      <c r="D5" s="36" t="s">
        <v>1025</v>
      </c>
      <c r="E5" s="36" t="s">
        <v>1026</v>
      </c>
      <c r="F5" s="36" t="s">
        <v>1027</v>
      </c>
      <c r="G5" s="36" t="s">
        <v>1028</v>
      </c>
      <c r="H5" s="36" t="s">
        <v>1029</v>
      </c>
      <c r="I5" s="113">
        <v>1</v>
      </c>
    </row>
    <row r="6" spans="1:9" ht="15.75" customHeight="1">
      <c r="A6" s="87"/>
      <c r="B6" s="87"/>
      <c r="C6" s="36" t="s">
        <v>1030</v>
      </c>
      <c r="D6" s="36" t="s">
        <v>1031</v>
      </c>
      <c r="E6" s="36" t="s">
        <v>1032</v>
      </c>
      <c r="F6" s="36" t="s">
        <v>1033</v>
      </c>
      <c r="G6" s="36" t="s">
        <v>1034</v>
      </c>
      <c r="H6" s="36" t="s">
        <v>1035</v>
      </c>
      <c r="I6" s="87"/>
    </row>
    <row r="7" spans="1:9" ht="15.75" customHeight="1">
      <c r="A7" s="87"/>
      <c r="B7" s="87"/>
      <c r="C7" s="38" t="s">
        <v>1036</v>
      </c>
      <c r="D7" s="36" t="s">
        <v>1037</v>
      </c>
      <c r="E7" s="36" t="s">
        <v>1038</v>
      </c>
      <c r="F7" s="36" t="s">
        <v>1039</v>
      </c>
      <c r="G7" s="36" t="s">
        <v>1040</v>
      </c>
      <c r="H7" s="36" t="s">
        <v>1041</v>
      </c>
      <c r="I7" s="114"/>
    </row>
    <row r="8" spans="1:9" ht="15.75" customHeight="1">
      <c r="A8" s="87"/>
      <c r="B8" s="87"/>
      <c r="C8" s="38" t="s">
        <v>1042</v>
      </c>
      <c r="D8" s="36" t="s">
        <v>1043</v>
      </c>
      <c r="E8" s="100" t="s">
        <v>1044</v>
      </c>
      <c r="F8" s="101"/>
      <c r="G8" s="100" t="s">
        <v>1045</v>
      </c>
      <c r="H8" s="101"/>
      <c r="I8" s="38">
        <v>1</v>
      </c>
    </row>
    <row r="9" spans="1:9" ht="15.75" customHeight="1">
      <c r="A9" s="87"/>
      <c r="B9" s="87"/>
      <c r="C9" s="38" t="s">
        <v>1042</v>
      </c>
      <c r="D9" s="100" t="s">
        <v>1046</v>
      </c>
      <c r="E9" s="101"/>
      <c r="F9" s="100" t="s">
        <v>1047</v>
      </c>
      <c r="G9" s="101"/>
      <c r="H9" s="36" t="s">
        <v>1048</v>
      </c>
      <c r="I9" s="113">
        <v>1</v>
      </c>
    </row>
    <row r="10" spans="1:9" ht="15.75" customHeight="1">
      <c r="A10" s="87"/>
      <c r="B10" s="87"/>
      <c r="C10" s="38" t="s">
        <v>1049</v>
      </c>
      <c r="D10" s="100" t="s">
        <v>1050</v>
      </c>
      <c r="E10" s="101"/>
      <c r="F10" s="100" t="s">
        <v>1051</v>
      </c>
      <c r="G10" s="101"/>
      <c r="H10" s="36" t="s">
        <v>1052</v>
      </c>
      <c r="I10" s="114"/>
    </row>
    <row r="11" spans="1:9" ht="15.75" customHeight="1">
      <c r="A11" s="87"/>
      <c r="B11" s="87"/>
      <c r="C11" s="36" t="s">
        <v>1053</v>
      </c>
      <c r="D11" s="36" t="s">
        <v>1043</v>
      </c>
      <c r="E11" s="36" t="s">
        <v>1054</v>
      </c>
      <c r="F11" s="100" t="s">
        <v>1055</v>
      </c>
      <c r="G11" s="101"/>
      <c r="H11" s="36" t="s">
        <v>1056</v>
      </c>
      <c r="I11" s="38">
        <v>1</v>
      </c>
    </row>
    <row r="12" spans="1:9" ht="15.75" customHeight="1">
      <c r="A12" s="87"/>
      <c r="B12" s="87"/>
      <c r="C12" s="36" t="s">
        <v>1057</v>
      </c>
      <c r="D12" s="36" t="s">
        <v>1043</v>
      </c>
      <c r="E12" s="100" t="s">
        <v>1058</v>
      </c>
      <c r="F12" s="106"/>
      <c r="G12" s="106"/>
      <c r="H12" s="101"/>
      <c r="I12" s="38">
        <v>2</v>
      </c>
    </row>
    <row r="13" spans="1:9" ht="15.75" customHeight="1">
      <c r="A13" s="87"/>
      <c r="B13" s="87"/>
      <c r="C13" s="36" t="s">
        <v>1059</v>
      </c>
      <c r="D13" s="36" t="s">
        <v>1043</v>
      </c>
      <c r="E13" s="100" t="s">
        <v>1060</v>
      </c>
      <c r="F13" s="106"/>
      <c r="G13" s="106"/>
      <c r="H13" s="101"/>
      <c r="I13" s="38">
        <v>3</v>
      </c>
    </row>
    <row r="14" spans="1:9" ht="15.75" customHeight="1">
      <c r="A14" s="87"/>
      <c r="B14" s="87"/>
      <c r="C14" s="36" t="s">
        <v>1061</v>
      </c>
      <c r="D14" s="100" t="s">
        <v>1062</v>
      </c>
      <c r="E14" s="106"/>
      <c r="F14" s="106"/>
      <c r="G14" s="106"/>
      <c r="H14" s="101"/>
      <c r="I14" s="38">
        <v>2</v>
      </c>
    </row>
    <row r="15" spans="1:9" ht="15.75" customHeight="1">
      <c r="A15" s="114"/>
      <c r="B15" s="114"/>
      <c r="C15" s="37" t="s">
        <v>1063</v>
      </c>
      <c r="D15" s="94" t="s">
        <v>1043</v>
      </c>
      <c r="E15" s="95"/>
      <c r="F15" s="94" t="s">
        <v>1064</v>
      </c>
      <c r="G15" s="96"/>
      <c r="H15" s="95"/>
      <c r="I15" s="33">
        <v>2</v>
      </c>
    </row>
    <row r="16" spans="1:9" ht="15.75" customHeight="1">
      <c r="A16" s="83" t="s">
        <v>896</v>
      </c>
      <c r="B16" s="83" t="s">
        <v>975</v>
      </c>
      <c r="C16" s="39" t="s">
        <v>1018</v>
      </c>
      <c r="D16" s="39" t="s">
        <v>1019</v>
      </c>
      <c r="E16" s="39" t="s">
        <v>1020</v>
      </c>
      <c r="F16" s="39" t="s">
        <v>1021</v>
      </c>
      <c r="G16" s="39" t="s">
        <v>1022</v>
      </c>
      <c r="H16" s="39" t="s">
        <v>1023</v>
      </c>
      <c r="I16" s="40">
        <v>1</v>
      </c>
    </row>
    <row r="17" spans="1:9" ht="15.75" customHeight="1">
      <c r="A17" s="84"/>
      <c r="B17" s="84"/>
      <c r="C17" s="41" t="s">
        <v>1024</v>
      </c>
      <c r="D17" s="41" t="s">
        <v>1065</v>
      </c>
      <c r="E17" s="41" t="s">
        <v>1066</v>
      </c>
      <c r="F17" s="41" t="s">
        <v>1067</v>
      </c>
      <c r="G17" s="41" t="s">
        <v>1068</v>
      </c>
      <c r="H17" s="41" t="s">
        <v>1069</v>
      </c>
      <c r="I17" s="99">
        <v>1</v>
      </c>
    </row>
    <row r="18" spans="1:9" ht="15.75" customHeight="1">
      <c r="A18" s="84"/>
      <c r="B18" s="84"/>
      <c r="C18" s="41" t="s">
        <v>1030</v>
      </c>
      <c r="D18" s="41" t="s">
        <v>1070</v>
      </c>
      <c r="E18" s="41" t="s">
        <v>1071</v>
      </c>
      <c r="F18" s="41" t="s">
        <v>1072</v>
      </c>
      <c r="G18" s="41" t="s">
        <v>1073</v>
      </c>
      <c r="H18" s="41" t="s">
        <v>1074</v>
      </c>
      <c r="I18" s="84"/>
    </row>
    <row r="19" spans="1:9" ht="15.75" customHeight="1">
      <c r="A19" s="84"/>
      <c r="B19" s="84"/>
      <c r="C19" s="43" t="s">
        <v>1036</v>
      </c>
      <c r="D19" s="41" t="s">
        <v>1075</v>
      </c>
      <c r="E19" s="41" t="s">
        <v>1076</v>
      </c>
      <c r="F19" s="41" t="s">
        <v>1077</v>
      </c>
      <c r="G19" s="41" t="s">
        <v>1078</v>
      </c>
      <c r="H19" s="41" t="s">
        <v>1079</v>
      </c>
      <c r="I19" s="93"/>
    </row>
    <row r="20" spans="1:9" ht="15.75" customHeight="1">
      <c r="A20" s="84"/>
      <c r="B20" s="84"/>
      <c r="C20" s="43" t="s">
        <v>1042</v>
      </c>
      <c r="D20" s="41" t="s">
        <v>1043</v>
      </c>
      <c r="E20" s="91" t="s">
        <v>1080</v>
      </c>
      <c r="F20" s="93"/>
      <c r="G20" s="91" t="s">
        <v>1081</v>
      </c>
      <c r="H20" s="93"/>
      <c r="I20" s="43">
        <v>1</v>
      </c>
    </row>
    <row r="21" spans="1:9" ht="15.75" customHeight="1">
      <c r="A21" s="84"/>
      <c r="B21" s="84"/>
      <c r="C21" s="43" t="s">
        <v>1042</v>
      </c>
      <c r="D21" s="91" t="s">
        <v>1082</v>
      </c>
      <c r="E21" s="93"/>
      <c r="F21" s="91" t="s">
        <v>1083</v>
      </c>
      <c r="G21" s="93"/>
      <c r="H21" s="41" t="s">
        <v>1084</v>
      </c>
      <c r="I21" s="99">
        <v>1</v>
      </c>
    </row>
    <row r="22" spans="1:9" ht="15.75" customHeight="1">
      <c r="A22" s="84"/>
      <c r="B22" s="84"/>
      <c r="C22" s="43" t="s">
        <v>1049</v>
      </c>
      <c r="D22" s="91" t="s">
        <v>1085</v>
      </c>
      <c r="E22" s="93"/>
      <c r="F22" s="91" t="s">
        <v>1086</v>
      </c>
      <c r="G22" s="93"/>
      <c r="H22" s="41" t="s">
        <v>1087</v>
      </c>
      <c r="I22" s="93"/>
    </row>
    <row r="23" spans="1:9" ht="15.75" customHeight="1">
      <c r="A23" s="84"/>
      <c r="B23" s="84"/>
      <c r="C23" s="41" t="s">
        <v>1053</v>
      </c>
      <c r="D23" s="41" t="s">
        <v>1043</v>
      </c>
      <c r="E23" s="41" t="s">
        <v>1054</v>
      </c>
      <c r="F23" s="91" t="s">
        <v>1055</v>
      </c>
      <c r="G23" s="93"/>
      <c r="H23" s="41" t="s">
        <v>1056</v>
      </c>
      <c r="I23" s="43">
        <v>1</v>
      </c>
    </row>
    <row r="24" spans="1:9" ht="15.75" customHeight="1">
      <c r="A24" s="84"/>
      <c r="B24" s="84"/>
      <c r="C24" s="41" t="s">
        <v>1057</v>
      </c>
      <c r="D24" s="41" t="s">
        <v>1043</v>
      </c>
      <c r="E24" s="91" t="s">
        <v>1088</v>
      </c>
      <c r="F24" s="92"/>
      <c r="G24" s="92"/>
      <c r="H24" s="93"/>
      <c r="I24" s="43">
        <v>2</v>
      </c>
    </row>
    <row r="25" spans="1:9" ht="15.75" customHeight="1">
      <c r="A25" s="84"/>
      <c r="B25" s="84"/>
      <c r="C25" s="41" t="s">
        <v>1059</v>
      </c>
      <c r="D25" s="41" t="s">
        <v>1043</v>
      </c>
      <c r="E25" s="91" t="s">
        <v>1089</v>
      </c>
      <c r="F25" s="92"/>
      <c r="G25" s="92"/>
      <c r="H25" s="93"/>
      <c r="I25" s="43">
        <v>3</v>
      </c>
    </row>
    <row r="26" spans="1:9" ht="15.75" customHeight="1">
      <c r="A26" s="84"/>
      <c r="B26" s="84"/>
      <c r="C26" s="41" t="s">
        <v>1061</v>
      </c>
      <c r="D26" s="91" t="s">
        <v>1090</v>
      </c>
      <c r="E26" s="92"/>
      <c r="F26" s="92"/>
      <c r="G26" s="92"/>
      <c r="H26" s="93"/>
      <c r="I26" s="43">
        <v>2</v>
      </c>
    </row>
    <row r="27" spans="1:9" ht="15.75" customHeight="1">
      <c r="A27" s="85"/>
      <c r="B27" s="85"/>
      <c r="C27" s="44" t="s">
        <v>1063</v>
      </c>
      <c r="D27" s="97" t="s">
        <v>1043</v>
      </c>
      <c r="E27" s="85"/>
      <c r="F27" s="97" t="s">
        <v>1091</v>
      </c>
      <c r="G27" s="98"/>
      <c r="H27" s="85"/>
      <c r="I27" s="45">
        <v>2</v>
      </c>
    </row>
    <row r="28" spans="1:9" ht="15.75" customHeight="1">
      <c r="A28" s="83" t="s">
        <v>899</v>
      </c>
      <c r="B28" s="83" t="s">
        <v>976</v>
      </c>
      <c r="C28" s="39" t="s">
        <v>1018</v>
      </c>
      <c r="D28" s="39" t="s">
        <v>1019</v>
      </c>
      <c r="E28" s="39" t="s">
        <v>1020</v>
      </c>
      <c r="F28" s="39" t="s">
        <v>1021</v>
      </c>
      <c r="G28" s="39" t="s">
        <v>1022</v>
      </c>
      <c r="H28" s="39" t="s">
        <v>1023</v>
      </c>
      <c r="I28" s="40">
        <v>1</v>
      </c>
    </row>
    <row r="29" spans="1:9" ht="15.75" customHeight="1">
      <c r="A29" s="84"/>
      <c r="B29" s="84"/>
      <c r="C29" s="41" t="s">
        <v>1024</v>
      </c>
      <c r="D29" s="41" t="s">
        <v>1092</v>
      </c>
      <c r="E29" s="41" t="s">
        <v>1093</v>
      </c>
      <c r="F29" s="41" t="s">
        <v>1094</v>
      </c>
      <c r="G29" s="41" t="s">
        <v>1095</v>
      </c>
      <c r="H29" s="41" t="s">
        <v>1096</v>
      </c>
      <c r="I29" s="99">
        <v>1</v>
      </c>
    </row>
    <row r="30" spans="1:9" ht="15.75" customHeight="1">
      <c r="A30" s="84"/>
      <c r="B30" s="84"/>
      <c r="C30" s="41" t="s">
        <v>1030</v>
      </c>
      <c r="D30" s="41" t="s">
        <v>1097</v>
      </c>
      <c r="E30" s="41" t="s">
        <v>1098</v>
      </c>
      <c r="F30" s="41" t="s">
        <v>1099</v>
      </c>
      <c r="G30" s="41" t="s">
        <v>1100</v>
      </c>
      <c r="H30" s="41" t="s">
        <v>1101</v>
      </c>
      <c r="I30" s="84"/>
    </row>
    <row r="31" spans="1:9" ht="15.75" customHeight="1">
      <c r="A31" s="84"/>
      <c r="B31" s="84"/>
      <c r="C31" s="43" t="s">
        <v>1036</v>
      </c>
      <c r="D31" s="41" t="s">
        <v>1102</v>
      </c>
      <c r="E31" s="41" t="s">
        <v>1103</v>
      </c>
      <c r="F31" s="41" t="s">
        <v>1104</v>
      </c>
      <c r="G31" s="41" t="s">
        <v>1105</v>
      </c>
      <c r="H31" s="41" t="s">
        <v>1106</v>
      </c>
      <c r="I31" s="93"/>
    </row>
    <row r="32" spans="1:9" ht="15.75" customHeight="1">
      <c r="A32" s="84"/>
      <c r="B32" s="84"/>
      <c r="C32" s="43" t="s">
        <v>1042</v>
      </c>
      <c r="D32" s="41" t="s">
        <v>1043</v>
      </c>
      <c r="E32" s="91" t="s">
        <v>1107</v>
      </c>
      <c r="F32" s="93"/>
      <c r="G32" s="100" t="s">
        <v>1045</v>
      </c>
      <c r="H32" s="101"/>
      <c r="I32" s="43">
        <v>1</v>
      </c>
    </row>
    <row r="33" spans="1:9" ht="15.75" customHeight="1">
      <c r="A33" s="84"/>
      <c r="B33" s="84"/>
      <c r="C33" s="43" t="s">
        <v>1042</v>
      </c>
      <c r="D33" s="91" t="s">
        <v>1108</v>
      </c>
      <c r="E33" s="93"/>
      <c r="F33" s="91" t="s">
        <v>1109</v>
      </c>
      <c r="G33" s="93"/>
      <c r="H33" s="41" t="s">
        <v>1110</v>
      </c>
      <c r="I33" s="99">
        <v>1</v>
      </c>
    </row>
    <row r="34" spans="1:9" ht="15.75" customHeight="1">
      <c r="A34" s="84"/>
      <c r="B34" s="84"/>
      <c r="C34" s="43" t="s">
        <v>1049</v>
      </c>
      <c r="D34" s="91" t="s">
        <v>1111</v>
      </c>
      <c r="E34" s="93"/>
      <c r="F34" s="91" t="s">
        <v>1112</v>
      </c>
      <c r="G34" s="93"/>
      <c r="H34" s="41" t="s">
        <v>1113</v>
      </c>
      <c r="I34" s="93"/>
    </row>
    <row r="35" spans="1:9" ht="15.75" customHeight="1">
      <c r="A35" s="84"/>
      <c r="B35" s="84"/>
      <c r="C35" s="41" t="s">
        <v>1053</v>
      </c>
      <c r="D35" s="41" t="s">
        <v>1043</v>
      </c>
      <c r="E35" s="41" t="s">
        <v>1054</v>
      </c>
      <c r="F35" s="91" t="s">
        <v>1055</v>
      </c>
      <c r="G35" s="93"/>
      <c r="H35" s="41" t="s">
        <v>1056</v>
      </c>
      <c r="I35" s="43">
        <v>1</v>
      </c>
    </row>
    <row r="36" spans="1:9" ht="15.75" customHeight="1">
      <c r="A36" s="84"/>
      <c r="B36" s="84"/>
      <c r="C36" s="41" t="s">
        <v>1057</v>
      </c>
      <c r="D36" s="41" t="s">
        <v>1043</v>
      </c>
      <c r="E36" s="91" t="s">
        <v>1114</v>
      </c>
      <c r="F36" s="92"/>
      <c r="G36" s="92"/>
      <c r="H36" s="93"/>
      <c r="I36" s="43">
        <v>2</v>
      </c>
    </row>
    <row r="37" spans="1:9" ht="15.75" customHeight="1">
      <c r="A37" s="84"/>
      <c r="B37" s="84"/>
      <c r="C37" s="41" t="s">
        <v>1059</v>
      </c>
      <c r="D37" s="41" t="s">
        <v>1043</v>
      </c>
      <c r="E37" s="91" t="s">
        <v>1089</v>
      </c>
      <c r="F37" s="92"/>
      <c r="G37" s="92"/>
      <c r="H37" s="93"/>
      <c r="I37" s="43">
        <v>3</v>
      </c>
    </row>
    <row r="38" spans="1:9" ht="15.75" customHeight="1">
      <c r="A38" s="84"/>
      <c r="B38" s="84"/>
      <c r="C38" s="41" t="s">
        <v>1061</v>
      </c>
      <c r="D38" s="91" t="s">
        <v>1115</v>
      </c>
      <c r="E38" s="92"/>
      <c r="F38" s="92"/>
      <c r="G38" s="92"/>
      <c r="H38" s="93"/>
      <c r="I38" s="43">
        <v>2</v>
      </c>
    </row>
    <row r="39" spans="1:9" ht="15.75" customHeight="1">
      <c r="A39" s="85"/>
      <c r="B39" s="85"/>
      <c r="C39" s="44" t="s">
        <v>1063</v>
      </c>
      <c r="D39" s="97" t="s">
        <v>1043</v>
      </c>
      <c r="E39" s="85"/>
      <c r="F39" s="97" t="s">
        <v>1116</v>
      </c>
      <c r="G39" s="98"/>
      <c r="H39" s="85"/>
      <c r="I39" s="45">
        <v>2</v>
      </c>
    </row>
    <row r="40" spans="1:9" ht="15.75" customHeight="1">
      <c r="A40" s="83" t="s">
        <v>887</v>
      </c>
      <c r="B40" s="83" t="s">
        <v>977</v>
      </c>
      <c r="C40" s="39" t="s">
        <v>1018</v>
      </c>
      <c r="D40" s="39" t="s">
        <v>1019</v>
      </c>
      <c r="E40" s="39" t="s">
        <v>1020</v>
      </c>
      <c r="F40" s="39" t="s">
        <v>1021</v>
      </c>
      <c r="G40" s="39" t="s">
        <v>1022</v>
      </c>
      <c r="H40" s="39" t="s">
        <v>1023</v>
      </c>
      <c r="I40" s="40">
        <v>1</v>
      </c>
    </row>
    <row r="41" spans="1:9" ht="15.75" customHeight="1">
      <c r="A41" s="84"/>
      <c r="B41" s="84"/>
      <c r="C41" s="41" t="s">
        <v>1024</v>
      </c>
      <c r="D41" s="41" t="s">
        <v>1065</v>
      </c>
      <c r="E41" s="41" t="s">
        <v>1117</v>
      </c>
      <c r="F41" s="41" t="s">
        <v>1118</v>
      </c>
      <c r="G41" s="41" t="s">
        <v>1119</v>
      </c>
      <c r="H41" s="41" t="s">
        <v>1120</v>
      </c>
      <c r="I41" s="99">
        <v>1</v>
      </c>
    </row>
    <row r="42" spans="1:9" ht="15.75" customHeight="1">
      <c r="A42" s="84"/>
      <c r="B42" s="84"/>
      <c r="C42" s="41" t="s">
        <v>1030</v>
      </c>
      <c r="D42" s="41" t="s">
        <v>1070</v>
      </c>
      <c r="E42" s="41" t="s">
        <v>1121</v>
      </c>
      <c r="F42" s="41" t="s">
        <v>1122</v>
      </c>
      <c r="G42" s="41" t="s">
        <v>1123</v>
      </c>
      <c r="H42" s="41" t="s">
        <v>1124</v>
      </c>
      <c r="I42" s="84"/>
    </row>
    <row r="43" spans="1:9" ht="15.75" customHeight="1">
      <c r="A43" s="84"/>
      <c r="B43" s="84"/>
      <c r="C43" s="43" t="s">
        <v>1036</v>
      </c>
      <c r="D43" s="41" t="s">
        <v>1075</v>
      </c>
      <c r="E43" s="41" t="s">
        <v>1125</v>
      </c>
      <c r="F43" s="41" t="s">
        <v>1126</v>
      </c>
      <c r="G43" s="41" t="s">
        <v>1127</v>
      </c>
      <c r="H43" s="41" t="s">
        <v>1128</v>
      </c>
      <c r="I43" s="93"/>
    </row>
    <row r="44" spans="1:9" ht="15.75" customHeight="1">
      <c r="A44" s="84"/>
      <c r="B44" s="84"/>
      <c r="C44" s="43" t="s">
        <v>1042</v>
      </c>
      <c r="D44" s="41" t="s">
        <v>1043</v>
      </c>
      <c r="E44" s="91" t="s">
        <v>1129</v>
      </c>
      <c r="F44" s="93"/>
      <c r="G44" s="100" t="s">
        <v>1130</v>
      </c>
      <c r="H44" s="101"/>
      <c r="I44" s="43">
        <v>1</v>
      </c>
    </row>
    <row r="45" spans="1:9" ht="15.75" customHeight="1">
      <c r="A45" s="84"/>
      <c r="B45" s="84"/>
      <c r="C45" s="43" t="s">
        <v>1042</v>
      </c>
      <c r="D45" s="91" t="s">
        <v>1131</v>
      </c>
      <c r="E45" s="93"/>
      <c r="F45" s="91" t="s">
        <v>1132</v>
      </c>
      <c r="G45" s="93"/>
      <c r="H45" s="41" t="s">
        <v>1133</v>
      </c>
      <c r="I45" s="99">
        <v>1</v>
      </c>
    </row>
    <row r="46" spans="1:9" ht="15.75" customHeight="1">
      <c r="A46" s="84"/>
      <c r="B46" s="84"/>
      <c r="C46" s="43" t="s">
        <v>1049</v>
      </c>
      <c r="D46" s="91" t="s">
        <v>1134</v>
      </c>
      <c r="E46" s="93"/>
      <c r="F46" s="91" t="s">
        <v>1135</v>
      </c>
      <c r="G46" s="93"/>
      <c r="H46" s="41" t="s">
        <v>1136</v>
      </c>
      <c r="I46" s="93"/>
    </row>
    <row r="47" spans="1:9" ht="15.75" customHeight="1">
      <c r="A47" s="84"/>
      <c r="B47" s="84"/>
      <c r="C47" s="41" t="s">
        <v>1053</v>
      </c>
      <c r="D47" s="41" t="s">
        <v>1043</v>
      </c>
      <c r="E47" s="41" t="s">
        <v>1054</v>
      </c>
      <c r="F47" s="91" t="s">
        <v>1055</v>
      </c>
      <c r="G47" s="93"/>
      <c r="H47" s="41" t="s">
        <v>1056</v>
      </c>
      <c r="I47" s="43">
        <v>1</v>
      </c>
    </row>
    <row r="48" spans="1:9" ht="15.75" customHeight="1">
      <c r="A48" s="84"/>
      <c r="B48" s="84"/>
      <c r="C48" s="41" t="s">
        <v>1057</v>
      </c>
      <c r="D48" s="41" t="s">
        <v>1043</v>
      </c>
      <c r="E48" s="91" t="s">
        <v>1137</v>
      </c>
      <c r="F48" s="92"/>
      <c r="G48" s="92"/>
      <c r="H48" s="93"/>
      <c r="I48" s="43">
        <v>2</v>
      </c>
    </row>
    <row r="49" spans="1:9" ht="15.75" customHeight="1">
      <c r="A49" s="84"/>
      <c r="B49" s="84"/>
      <c r="C49" s="41" t="s">
        <v>1059</v>
      </c>
      <c r="D49" s="41" t="s">
        <v>1043</v>
      </c>
      <c r="E49" s="91" t="s">
        <v>1060</v>
      </c>
      <c r="F49" s="92"/>
      <c r="G49" s="92"/>
      <c r="H49" s="93"/>
      <c r="I49" s="43">
        <v>3</v>
      </c>
    </row>
    <row r="50" spans="1:9" ht="15.75" customHeight="1">
      <c r="A50" s="84"/>
      <c r="B50" s="84"/>
      <c r="C50" s="41" t="s">
        <v>1061</v>
      </c>
      <c r="D50" s="91" t="s">
        <v>1138</v>
      </c>
      <c r="E50" s="92"/>
      <c r="F50" s="92"/>
      <c r="G50" s="92"/>
      <c r="H50" s="93"/>
      <c r="I50" s="43">
        <v>2</v>
      </c>
    </row>
    <row r="51" spans="1:9" ht="15.75" customHeight="1">
      <c r="A51" s="85"/>
      <c r="B51" s="85"/>
      <c r="C51" s="44" t="s">
        <v>1063</v>
      </c>
      <c r="D51" s="97" t="s">
        <v>1043</v>
      </c>
      <c r="E51" s="85"/>
      <c r="F51" s="97" t="s">
        <v>1139</v>
      </c>
      <c r="G51" s="98"/>
      <c r="H51" s="85"/>
      <c r="I51" s="45">
        <v>2</v>
      </c>
    </row>
    <row r="52" spans="1:9" ht="15.75" customHeight="1">
      <c r="A52" s="83" t="s">
        <v>893</v>
      </c>
      <c r="B52" s="83" t="s">
        <v>978</v>
      </c>
      <c r="C52" s="39" t="s">
        <v>1018</v>
      </c>
      <c r="D52" s="39" t="s">
        <v>1019</v>
      </c>
      <c r="E52" s="39" t="s">
        <v>1020</v>
      </c>
      <c r="F52" s="39" t="s">
        <v>1021</v>
      </c>
      <c r="G52" s="39" t="s">
        <v>1022</v>
      </c>
      <c r="H52" s="39" t="s">
        <v>1023</v>
      </c>
      <c r="I52" s="40">
        <v>1</v>
      </c>
    </row>
    <row r="53" spans="1:9" ht="15.75" customHeight="1">
      <c r="A53" s="84"/>
      <c r="B53" s="84"/>
      <c r="C53" s="41" t="s">
        <v>1024</v>
      </c>
      <c r="D53" s="41" t="s">
        <v>1025</v>
      </c>
      <c r="E53" s="41" t="s">
        <v>1140</v>
      </c>
      <c r="F53" s="41" t="s">
        <v>1141</v>
      </c>
      <c r="G53" s="41" t="s">
        <v>1142</v>
      </c>
      <c r="H53" s="41" t="s">
        <v>1143</v>
      </c>
      <c r="I53" s="99">
        <v>1</v>
      </c>
    </row>
    <row r="54" spans="1:9" ht="15.75" customHeight="1">
      <c r="A54" s="84"/>
      <c r="B54" s="84"/>
      <c r="C54" s="41" t="s">
        <v>1030</v>
      </c>
      <c r="D54" s="41" t="s">
        <v>1031</v>
      </c>
      <c r="E54" s="41" t="s">
        <v>1144</v>
      </c>
      <c r="F54" s="41" t="s">
        <v>1145</v>
      </c>
      <c r="G54" s="41" t="s">
        <v>1146</v>
      </c>
      <c r="H54" s="41" t="s">
        <v>1147</v>
      </c>
      <c r="I54" s="84"/>
    </row>
    <row r="55" spans="1:9" ht="15.75" customHeight="1">
      <c r="A55" s="84"/>
      <c r="B55" s="84"/>
      <c r="C55" s="43" t="s">
        <v>1036</v>
      </c>
      <c r="D55" s="41" t="s">
        <v>1037</v>
      </c>
      <c r="E55" s="41" t="s">
        <v>1148</v>
      </c>
      <c r="F55" s="41" t="s">
        <v>1149</v>
      </c>
      <c r="G55" s="41" t="s">
        <v>1150</v>
      </c>
      <c r="H55" s="41" t="s">
        <v>1151</v>
      </c>
      <c r="I55" s="93"/>
    </row>
    <row r="56" spans="1:9" ht="12.75">
      <c r="A56" s="84"/>
      <c r="B56" s="84"/>
      <c r="C56" s="43" t="s">
        <v>1042</v>
      </c>
      <c r="D56" s="41" t="s">
        <v>1043</v>
      </c>
      <c r="E56" s="91" t="s">
        <v>1080</v>
      </c>
      <c r="F56" s="93"/>
      <c r="G56" s="100" t="s">
        <v>1152</v>
      </c>
      <c r="H56" s="101"/>
      <c r="I56" s="43">
        <v>1</v>
      </c>
    </row>
    <row r="57" spans="1:9" ht="25.5">
      <c r="A57" s="84"/>
      <c r="B57" s="84"/>
      <c r="C57" s="43" t="s">
        <v>1042</v>
      </c>
      <c r="D57" s="91" t="s">
        <v>1153</v>
      </c>
      <c r="E57" s="93"/>
      <c r="F57" s="91" t="s">
        <v>1154</v>
      </c>
      <c r="G57" s="93"/>
      <c r="H57" s="41" t="s">
        <v>1155</v>
      </c>
      <c r="I57" s="99">
        <v>1</v>
      </c>
    </row>
    <row r="58" spans="1:9" ht="25.5">
      <c r="A58" s="84"/>
      <c r="B58" s="84"/>
      <c r="C58" s="43" t="s">
        <v>1049</v>
      </c>
      <c r="D58" s="91" t="s">
        <v>1156</v>
      </c>
      <c r="E58" s="93"/>
      <c r="F58" s="91" t="s">
        <v>1157</v>
      </c>
      <c r="G58" s="93"/>
      <c r="H58" s="41" t="s">
        <v>1158</v>
      </c>
      <c r="I58" s="93"/>
    </row>
    <row r="59" spans="1:9" ht="12.75">
      <c r="A59" s="84"/>
      <c r="B59" s="84"/>
      <c r="C59" s="41" t="s">
        <v>1053</v>
      </c>
      <c r="D59" s="41" t="s">
        <v>1043</v>
      </c>
      <c r="E59" s="41" t="s">
        <v>1054</v>
      </c>
      <c r="F59" s="91" t="s">
        <v>1055</v>
      </c>
      <c r="G59" s="93"/>
      <c r="H59" s="41" t="s">
        <v>1056</v>
      </c>
      <c r="I59" s="43">
        <v>1</v>
      </c>
    </row>
    <row r="60" spans="1:9" ht="12.75">
      <c r="A60" s="84"/>
      <c r="B60" s="84"/>
      <c r="C60" s="41" t="s">
        <v>1057</v>
      </c>
      <c r="D60" s="41" t="s">
        <v>1043</v>
      </c>
      <c r="E60" s="91" t="s">
        <v>1159</v>
      </c>
      <c r="F60" s="92"/>
      <c r="G60" s="92"/>
      <c r="H60" s="93"/>
      <c r="I60" s="43">
        <v>2</v>
      </c>
    </row>
    <row r="61" spans="1:9" ht="12.75">
      <c r="A61" s="84"/>
      <c r="B61" s="84"/>
      <c r="C61" s="41" t="s">
        <v>1059</v>
      </c>
      <c r="D61" s="41" t="s">
        <v>1043</v>
      </c>
      <c r="E61" s="91" t="s">
        <v>1060</v>
      </c>
      <c r="F61" s="92"/>
      <c r="G61" s="92"/>
      <c r="H61" s="93"/>
      <c r="I61" s="43">
        <v>3</v>
      </c>
    </row>
    <row r="62" spans="1:9" ht="12.75">
      <c r="A62" s="84"/>
      <c r="B62" s="84"/>
      <c r="C62" s="41" t="s">
        <v>1061</v>
      </c>
      <c r="D62" s="91" t="s">
        <v>1160</v>
      </c>
      <c r="E62" s="92"/>
      <c r="F62" s="92"/>
      <c r="G62" s="92"/>
      <c r="H62" s="93"/>
      <c r="I62" s="43">
        <v>2</v>
      </c>
    </row>
    <row r="63" spans="1:9" ht="12.75">
      <c r="A63" s="85"/>
      <c r="B63" s="85"/>
      <c r="C63" s="44" t="s">
        <v>1063</v>
      </c>
      <c r="D63" s="97" t="s">
        <v>1043</v>
      </c>
      <c r="E63" s="85"/>
      <c r="F63" s="97" t="s">
        <v>1139</v>
      </c>
      <c r="G63" s="98"/>
      <c r="H63" s="85"/>
      <c r="I63" s="45">
        <v>2</v>
      </c>
    </row>
    <row r="64" spans="1:9" ht="12.75">
      <c r="A64" s="83" t="s">
        <v>890</v>
      </c>
      <c r="B64" s="83" t="s">
        <v>979</v>
      </c>
      <c r="C64" s="39" t="s">
        <v>1018</v>
      </c>
      <c r="D64" s="39" t="s">
        <v>1019</v>
      </c>
      <c r="E64" s="39" t="s">
        <v>1020</v>
      </c>
      <c r="F64" s="39" t="s">
        <v>1021</v>
      </c>
      <c r="G64" s="39" t="s">
        <v>1022</v>
      </c>
      <c r="H64" s="39" t="s">
        <v>1023</v>
      </c>
      <c r="I64" s="40">
        <v>1</v>
      </c>
    </row>
    <row r="65" spans="1:9" ht="51">
      <c r="A65" s="84"/>
      <c r="B65" s="84"/>
      <c r="C65" s="41" t="s">
        <v>1024</v>
      </c>
      <c r="D65" s="41" t="s">
        <v>1092</v>
      </c>
      <c r="E65" s="41" t="s">
        <v>1161</v>
      </c>
      <c r="F65" s="41" t="s">
        <v>1162</v>
      </c>
      <c r="G65" s="41" t="s">
        <v>1163</v>
      </c>
      <c r="H65" s="41" t="s">
        <v>1164</v>
      </c>
      <c r="I65" s="99">
        <v>1</v>
      </c>
    </row>
    <row r="66" spans="1:9" ht="51">
      <c r="A66" s="84"/>
      <c r="B66" s="84"/>
      <c r="C66" s="41" t="s">
        <v>1030</v>
      </c>
      <c r="D66" s="41" t="s">
        <v>1097</v>
      </c>
      <c r="E66" s="41" t="s">
        <v>1165</v>
      </c>
      <c r="F66" s="41" t="s">
        <v>1166</v>
      </c>
      <c r="G66" s="41" t="s">
        <v>1167</v>
      </c>
      <c r="H66" s="41" t="s">
        <v>1168</v>
      </c>
      <c r="I66" s="84"/>
    </row>
    <row r="67" spans="1:9" ht="51">
      <c r="A67" s="84"/>
      <c r="B67" s="84"/>
      <c r="C67" s="43" t="s">
        <v>1036</v>
      </c>
      <c r="D67" s="41" t="s">
        <v>1102</v>
      </c>
      <c r="E67" s="41" t="s">
        <v>1169</v>
      </c>
      <c r="F67" s="41" t="s">
        <v>1170</v>
      </c>
      <c r="G67" s="41" t="s">
        <v>1171</v>
      </c>
      <c r="H67" s="41" t="s">
        <v>1172</v>
      </c>
      <c r="I67" s="93"/>
    </row>
    <row r="68" spans="1:9" ht="12.75">
      <c r="A68" s="84"/>
      <c r="B68" s="84"/>
      <c r="C68" s="43" t="s">
        <v>1042</v>
      </c>
      <c r="D68" s="41" t="s">
        <v>1043</v>
      </c>
      <c r="E68" s="91" t="s">
        <v>1107</v>
      </c>
      <c r="F68" s="93"/>
      <c r="G68" s="100" t="s">
        <v>1152</v>
      </c>
      <c r="H68" s="101"/>
      <c r="I68" s="43">
        <v>1</v>
      </c>
    </row>
    <row r="69" spans="1:9" ht="25.5">
      <c r="A69" s="84"/>
      <c r="B69" s="84"/>
      <c r="C69" s="43" t="s">
        <v>1042</v>
      </c>
      <c r="D69" s="91" t="s">
        <v>1173</v>
      </c>
      <c r="E69" s="93"/>
      <c r="F69" s="91" t="s">
        <v>1174</v>
      </c>
      <c r="G69" s="93"/>
      <c r="H69" s="41" t="s">
        <v>1175</v>
      </c>
      <c r="I69" s="99">
        <v>1</v>
      </c>
    </row>
    <row r="70" spans="1:9" ht="25.5">
      <c r="A70" s="84"/>
      <c r="B70" s="84"/>
      <c r="C70" s="43" t="s">
        <v>1049</v>
      </c>
      <c r="D70" s="91" t="s">
        <v>1176</v>
      </c>
      <c r="E70" s="93"/>
      <c r="F70" s="91" t="s">
        <v>1177</v>
      </c>
      <c r="G70" s="93"/>
      <c r="H70" s="41" t="s">
        <v>1178</v>
      </c>
      <c r="I70" s="93"/>
    </row>
    <row r="71" spans="1:9" ht="12.75">
      <c r="A71" s="84"/>
      <c r="B71" s="84"/>
      <c r="C71" s="41" t="s">
        <v>1053</v>
      </c>
      <c r="D71" s="41" t="s">
        <v>1043</v>
      </c>
      <c r="E71" s="41" t="s">
        <v>1054</v>
      </c>
      <c r="F71" s="91" t="s">
        <v>1055</v>
      </c>
      <c r="G71" s="93"/>
      <c r="H71" s="41" t="s">
        <v>1056</v>
      </c>
      <c r="I71" s="43">
        <v>1</v>
      </c>
    </row>
    <row r="72" spans="1:9" ht="12.75">
      <c r="A72" s="84"/>
      <c r="B72" s="84"/>
      <c r="C72" s="41" t="s">
        <v>1057</v>
      </c>
      <c r="D72" s="41" t="s">
        <v>1043</v>
      </c>
      <c r="E72" s="91" t="s">
        <v>1179</v>
      </c>
      <c r="F72" s="92"/>
      <c r="G72" s="92"/>
      <c r="H72" s="93"/>
      <c r="I72" s="43">
        <v>2</v>
      </c>
    </row>
    <row r="73" spans="1:9" ht="12.75">
      <c r="A73" s="84"/>
      <c r="B73" s="84"/>
      <c r="C73" s="41" t="s">
        <v>1059</v>
      </c>
      <c r="D73" s="41" t="s">
        <v>1043</v>
      </c>
      <c r="E73" s="91" t="s">
        <v>1060</v>
      </c>
      <c r="F73" s="92"/>
      <c r="G73" s="92"/>
      <c r="H73" s="93"/>
      <c r="I73" s="43">
        <v>3</v>
      </c>
    </row>
    <row r="74" spans="1:9" ht="12.75">
      <c r="A74" s="84"/>
      <c r="B74" s="84"/>
      <c r="C74" s="41" t="s">
        <v>1061</v>
      </c>
      <c r="D74" s="91" t="s">
        <v>1180</v>
      </c>
      <c r="E74" s="92"/>
      <c r="F74" s="92"/>
      <c r="G74" s="92"/>
      <c r="H74" s="93"/>
      <c r="I74" s="43">
        <v>2</v>
      </c>
    </row>
    <row r="75" spans="1:9" ht="12.75">
      <c r="A75" s="85"/>
      <c r="B75" s="85"/>
      <c r="C75" s="44" t="s">
        <v>1063</v>
      </c>
      <c r="D75" s="97" t="s">
        <v>1043</v>
      </c>
      <c r="E75" s="85"/>
      <c r="F75" s="97" t="s">
        <v>1181</v>
      </c>
      <c r="G75" s="98"/>
      <c r="H75" s="85"/>
      <c r="I75" s="45">
        <v>2</v>
      </c>
    </row>
    <row r="76" spans="1:9" ht="12.75">
      <c r="A76" s="83" t="s">
        <v>905</v>
      </c>
      <c r="B76" s="83" t="s">
        <v>980</v>
      </c>
      <c r="C76" s="39" t="s">
        <v>1018</v>
      </c>
      <c r="D76" s="39" t="s">
        <v>1019</v>
      </c>
      <c r="E76" s="39" t="s">
        <v>1020</v>
      </c>
      <c r="F76" s="39" t="s">
        <v>1021</v>
      </c>
      <c r="G76" s="39" t="s">
        <v>1022</v>
      </c>
      <c r="H76" s="39" t="s">
        <v>1023</v>
      </c>
      <c r="I76" s="40">
        <v>1</v>
      </c>
    </row>
    <row r="77" spans="1:9" ht="51">
      <c r="A77" s="84"/>
      <c r="B77" s="84"/>
      <c r="C77" s="41" t="s">
        <v>1024</v>
      </c>
      <c r="D77" s="41" t="s">
        <v>1182</v>
      </c>
      <c r="E77" s="41" t="s">
        <v>1183</v>
      </c>
      <c r="F77" s="41" t="s">
        <v>1184</v>
      </c>
      <c r="G77" s="41" t="s">
        <v>1185</v>
      </c>
      <c r="H77" s="41" t="s">
        <v>1186</v>
      </c>
      <c r="I77" s="99">
        <v>1</v>
      </c>
    </row>
    <row r="78" spans="1:9" ht="51">
      <c r="A78" s="84"/>
      <c r="B78" s="84"/>
      <c r="C78" s="41" t="s">
        <v>1030</v>
      </c>
      <c r="D78" s="41" t="s">
        <v>1187</v>
      </c>
      <c r="E78" s="41" t="s">
        <v>1188</v>
      </c>
      <c r="F78" s="41" t="s">
        <v>1189</v>
      </c>
      <c r="G78" s="41" t="s">
        <v>1190</v>
      </c>
      <c r="H78" s="41" t="s">
        <v>1191</v>
      </c>
      <c r="I78" s="84"/>
    </row>
    <row r="79" spans="1:9" ht="51">
      <c r="A79" s="84"/>
      <c r="B79" s="84"/>
      <c r="C79" s="43" t="s">
        <v>1036</v>
      </c>
      <c r="D79" s="41" t="s">
        <v>1192</v>
      </c>
      <c r="E79" s="41" t="s">
        <v>1193</v>
      </c>
      <c r="F79" s="41" t="s">
        <v>1194</v>
      </c>
      <c r="G79" s="41" t="s">
        <v>1195</v>
      </c>
      <c r="H79" s="41" t="s">
        <v>1196</v>
      </c>
      <c r="I79" s="93"/>
    </row>
    <row r="80" spans="1:9" ht="12.75">
      <c r="A80" s="84"/>
      <c r="B80" s="84"/>
      <c r="C80" s="43" t="s">
        <v>1042</v>
      </c>
      <c r="D80" s="41" t="s">
        <v>1043</v>
      </c>
      <c r="E80" s="91" t="s">
        <v>1129</v>
      </c>
      <c r="F80" s="93"/>
      <c r="G80" s="100" t="s">
        <v>1197</v>
      </c>
      <c r="H80" s="101"/>
      <c r="I80" s="43">
        <v>1</v>
      </c>
    </row>
    <row r="81" spans="1:9" ht="25.5">
      <c r="A81" s="84"/>
      <c r="B81" s="84"/>
      <c r="C81" s="43" t="s">
        <v>1042</v>
      </c>
      <c r="D81" s="91" t="s">
        <v>1198</v>
      </c>
      <c r="E81" s="93"/>
      <c r="F81" s="91" t="s">
        <v>1199</v>
      </c>
      <c r="G81" s="93"/>
      <c r="H81" s="41" t="s">
        <v>1200</v>
      </c>
      <c r="I81" s="99">
        <v>1</v>
      </c>
    </row>
    <row r="82" spans="1:9" ht="25.5">
      <c r="A82" s="84"/>
      <c r="B82" s="84"/>
      <c r="C82" s="43" t="s">
        <v>1049</v>
      </c>
      <c r="D82" s="91" t="s">
        <v>1201</v>
      </c>
      <c r="E82" s="93"/>
      <c r="F82" s="91" t="s">
        <v>1202</v>
      </c>
      <c r="G82" s="93"/>
      <c r="H82" s="41" t="s">
        <v>1203</v>
      </c>
      <c r="I82" s="93"/>
    </row>
    <row r="83" spans="1:9" ht="12.75">
      <c r="A83" s="84"/>
      <c r="B83" s="84"/>
      <c r="C83" s="41" t="s">
        <v>1053</v>
      </c>
      <c r="D83" s="41" t="s">
        <v>1043</v>
      </c>
      <c r="E83" s="41" t="s">
        <v>1054</v>
      </c>
      <c r="F83" s="91" t="s">
        <v>1055</v>
      </c>
      <c r="G83" s="93"/>
      <c r="H83" s="41" t="s">
        <v>1056</v>
      </c>
      <c r="I83" s="43">
        <v>1</v>
      </c>
    </row>
    <row r="84" spans="1:9" ht="12.75">
      <c r="A84" s="84"/>
      <c r="B84" s="84"/>
      <c r="C84" s="41" t="s">
        <v>1057</v>
      </c>
      <c r="D84" s="41" t="s">
        <v>1043</v>
      </c>
      <c r="E84" s="91" t="s">
        <v>1204</v>
      </c>
      <c r="F84" s="92"/>
      <c r="G84" s="92"/>
      <c r="H84" s="93"/>
      <c r="I84" s="43">
        <v>2</v>
      </c>
    </row>
    <row r="85" spans="1:9" ht="12.75">
      <c r="A85" s="84"/>
      <c r="B85" s="84"/>
      <c r="C85" s="41" t="s">
        <v>1059</v>
      </c>
      <c r="D85" s="41" t="s">
        <v>1043</v>
      </c>
      <c r="E85" s="91" t="s">
        <v>1089</v>
      </c>
      <c r="F85" s="92"/>
      <c r="G85" s="92"/>
      <c r="H85" s="93"/>
      <c r="I85" s="43">
        <v>3</v>
      </c>
    </row>
    <row r="86" spans="1:9" ht="12.75">
      <c r="A86" s="84"/>
      <c r="B86" s="84"/>
      <c r="C86" s="41" t="s">
        <v>1061</v>
      </c>
      <c r="D86" s="91" t="s">
        <v>1205</v>
      </c>
      <c r="E86" s="92"/>
      <c r="F86" s="92"/>
      <c r="G86" s="92"/>
      <c r="H86" s="93"/>
      <c r="I86" s="43">
        <v>2</v>
      </c>
    </row>
    <row r="87" spans="1:9" ht="12.75">
      <c r="A87" s="85"/>
      <c r="B87" s="85"/>
      <c r="C87" s="44" t="s">
        <v>1063</v>
      </c>
      <c r="D87" s="97" t="s">
        <v>1043</v>
      </c>
      <c r="E87" s="85"/>
      <c r="F87" s="97" t="s">
        <v>1206</v>
      </c>
      <c r="G87" s="98"/>
      <c r="H87" s="85"/>
      <c r="I87" s="45">
        <v>2</v>
      </c>
    </row>
    <row r="88" spans="1:9" ht="12.75">
      <c r="A88" s="83" t="s">
        <v>902</v>
      </c>
      <c r="B88" s="83" t="s">
        <v>981</v>
      </c>
      <c r="C88" s="39" t="s">
        <v>1018</v>
      </c>
      <c r="D88" s="39" t="s">
        <v>1019</v>
      </c>
      <c r="E88" s="39" t="s">
        <v>1020</v>
      </c>
      <c r="F88" s="39" t="s">
        <v>1021</v>
      </c>
      <c r="G88" s="39" t="s">
        <v>1022</v>
      </c>
      <c r="H88" s="39" t="s">
        <v>1023</v>
      </c>
      <c r="I88" s="40">
        <v>1</v>
      </c>
    </row>
    <row r="89" spans="1:9" ht="51">
      <c r="A89" s="84"/>
      <c r="B89" s="84"/>
      <c r="C89" s="41" t="s">
        <v>1024</v>
      </c>
      <c r="D89" s="41" t="s">
        <v>1182</v>
      </c>
      <c r="E89" s="41" t="s">
        <v>1207</v>
      </c>
      <c r="F89" s="41" t="s">
        <v>1208</v>
      </c>
      <c r="G89" s="41" t="s">
        <v>1209</v>
      </c>
      <c r="H89" s="41" t="s">
        <v>1210</v>
      </c>
      <c r="I89" s="99">
        <v>1</v>
      </c>
    </row>
    <row r="90" spans="1:9" ht="51">
      <c r="A90" s="84"/>
      <c r="B90" s="84"/>
      <c r="C90" s="41" t="s">
        <v>1030</v>
      </c>
      <c r="D90" s="41" t="s">
        <v>1187</v>
      </c>
      <c r="E90" s="41" t="s">
        <v>1211</v>
      </c>
      <c r="F90" s="41" t="s">
        <v>1212</v>
      </c>
      <c r="G90" s="41" t="s">
        <v>1213</v>
      </c>
      <c r="H90" s="41" t="s">
        <v>1214</v>
      </c>
      <c r="I90" s="84"/>
    </row>
    <row r="91" spans="1:9" ht="51">
      <c r="A91" s="84"/>
      <c r="B91" s="84"/>
      <c r="C91" s="43" t="s">
        <v>1036</v>
      </c>
      <c r="D91" s="41" t="s">
        <v>1192</v>
      </c>
      <c r="E91" s="41" t="s">
        <v>1215</v>
      </c>
      <c r="F91" s="41" t="s">
        <v>1216</v>
      </c>
      <c r="G91" s="41" t="s">
        <v>1217</v>
      </c>
      <c r="H91" s="41" t="s">
        <v>1218</v>
      </c>
      <c r="I91" s="93"/>
    </row>
    <row r="92" spans="1:9" ht="12.75">
      <c r="A92" s="84"/>
      <c r="B92" s="84"/>
      <c r="C92" s="43" t="s">
        <v>1042</v>
      </c>
      <c r="D92" s="41" t="s">
        <v>1043</v>
      </c>
      <c r="E92" s="91" t="s">
        <v>1044</v>
      </c>
      <c r="F92" s="93"/>
      <c r="G92" s="100" t="s">
        <v>1197</v>
      </c>
      <c r="H92" s="101"/>
      <c r="I92" s="43">
        <v>1</v>
      </c>
    </row>
    <row r="93" spans="1:9" ht="25.5">
      <c r="A93" s="84"/>
      <c r="B93" s="84"/>
      <c r="C93" s="43" t="s">
        <v>1042</v>
      </c>
      <c r="D93" s="91" t="s">
        <v>1219</v>
      </c>
      <c r="E93" s="93"/>
      <c r="F93" s="91" t="s">
        <v>1220</v>
      </c>
      <c r="G93" s="93"/>
      <c r="H93" s="41" t="s">
        <v>1221</v>
      </c>
      <c r="I93" s="99">
        <v>1</v>
      </c>
    </row>
    <row r="94" spans="1:9" ht="25.5">
      <c r="A94" s="84"/>
      <c r="B94" s="84"/>
      <c r="C94" s="43" t="s">
        <v>1049</v>
      </c>
      <c r="D94" s="91" t="s">
        <v>1222</v>
      </c>
      <c r="E94" s="93"/>
      <c r="F94" s="91" t="s">
        <v>1223</v>
      </c>
      <c r="G94" s="93"/>
      <c r="H94" s="41" t="s">
        <v>1224</v>
      </c>
      <c r="I94" s="93"/>
    </row>
    <row r="95" spans="1:9" ht="12.75">
      <c r="A95" s="84"/>
      <c r="B95" s="84"/>
      <c r="C95" s="41" t="s">
        <v>1053</v>
      </c>
      <c r="D95" s="41" t="s">
        <v>1043</v>
      </c>
      <c r="E95" s="41" t="s">
        <v>1054</v>
      </c>
      <c r="F95" s="91" t="s">
        <v>1055</v>
      </c>
      <c r="G95" s="93"/>
      <c r="H95" s="41" t="s">
        <v>1056</v>
      </c>
      <c r="I95" s="43">
        <v>1</v>
      </c>
    </row>
    <row r="96" spans="1:9" ht="12.75">
      <c r="A96" s="84"/>
      <c r="B96" s="84"/>
      <c r="C96" s="41" t="s">
        <v>1057</v>
      </c>
      <c r="D96" s="41" t="s">
        <v>1043</v>
      </c>
      <c r="E96" s="91" t="s">
        <v>1225</v>
      </c>
      <c r="F96" s="92"/>
      <c r="G96" s="92"/>
      <c r="H96" s="93"/>
      <c r="I96" s="43">
        <v>2</v>
      </c>
    </row>
    <row r="97" spans="1:9" ht="12.75">
      <c r="A97" s="84"/>
      <c r="B97" s="84"/>
      <c r="C97" s="41" t="s">
        <v>1059</v>
      </c>
      <c r="D97" s="41" t="s">
        <v>1043</v>
      </c>
      <c r="E97" s="91" t="s">
        <v>1089</v>
      </c>
      <c r="F97" s="92"/>
      <c r="G97" s="92"/>
      <c r="H97" s="93"/>
      <c r="I97" s="43">
        <v>3</v>
      </c>
    </row>
    <row r="98" spans="1:9" ht="12.75">
      <c r="A98" s="84"/>
      <c r="B98" s="84"/>
      <c r="C98" s="41" t="s">
        <v>1061</v>
      </c>
      <c r="D98" s="91" t="s">
        <v>1226</v>
      </c>
      <c r="E98" s="92"/>
      <c r="F98" s="92"/>
      <c r="G98" s="92"/>
      <c r="H98" s="93"/>
      <c r="I98" s="43">
        <v>2</v>
      </c>
    </row>
    <row r="99" spans="1:9" ht="12.75">
      <c r="A99" s="85"/>
      <c r="B99" s="85"/>
      <c r="C99" s="46" t="s">
        <v>1063</v>
      </c>
      <c r="D99" s="108" t="s">
        <v>1043</v>
      </c>
      <c r="E99" s="84"/>
      <c r="F99" s="108" t="s">
        <v>1227</v>
      </c>
      <c r="G99" s="109"/>
      <c r="H99" s="84"/>
      <c r="I99" s="42">
        <v>2</v>
      </c>
    </row>
    <row r="100" spans="1:9" ht="38.25">
      <c r="A100" s="86" t="s">
        <v>982</v>
      </c>
      <c r="B100" s="86" t="s">
        <v>1228</v>
      </c>
      <c r="C100" s="47" t="s">
        <v>1018</v>
      </c>
      <c r="D100" s="48" t="s">
        <v>1229</v>
      </c>
      <c r="E100" s="48" t="s">
        <v>1230</v>
      </c>
      <c r="F100" s="48" t="s">
        <v>1231</v>
      </c>
      <c r="G100" s="48" t="s">
        <v>1232</v>
      </c>
      <c r="H100" s="48" t="s">
        <v>1233</v>
      </c>
      <c r="I100" s="107">
        <v>2</v>
      </c>
    </row>
    <row r="101" spans="1:9" ht="38.25">
      <c r="A101" s="87"/>
      <c r="B101" s="87"/>
      <c r="C101" s="49" t="s">
        <v>1024</v>
      </c>
      <c r="D101" s="36" t="s">
        <v>1229</v>
      </c>
      <c r="E101" s="36" t="s">
        <v>1230</v>
      </c>
      <c r="F101" s="36" t="s">
        <v>1231</v>
      </c>
      <c r="G101" s="36" t="s">
        <v>1232</v>
      </c>
      <c r="H101" s="36" t="s">
        <v>1233</v>
      </c>
      <c r="I101" s="87"/>
    </row>
    <row r="102" spans="1:9" ht="38.25">
      <c r="A102" s="87"/>
      <c r="B102" s="87"/>
      <c r="C102" s="49" t="s">
        <v>1030</v>
      </c>
      <c r="D102" s="36" t="s">
        <v>1234</v>
      </c>
      <c r="E102" s="36" t="s">
        <v>1235</v>
      </c>
      <c r="F102" s="36" t="s">
        <v>1236</v>
      </c>
      <c r="G102" s="36" t="s">
        <v>1237</v>
      </c>
      <c r="H102" s="36" t="s">
        <v>1238</v>
      </c>
      <c r="I102" s="87"/>
    </row>
    <row r="103" spans="1:9" ht="38.25">
      <c r="A103" s="87"/>
      <c r="B103" s="87"/>
      <c r="C103" s="50" t="s">
        <v>1036</v>
      </c>
      <c r="D103" s="36" t="s">
        <v>1239</v>
      </c>
      <c r="E103" s="36" t="s">
        <v>1240</v>
      </c>
      <c r="F103" s="36" t="s">
        <v>1241</v>
      </c>
      <c r="G103" s="36" t="s">
        <v>1242</v>
      </c>
      <c r="H103" s="36" t="s">
        <v>1243</v>
      </c>
      <c r="I103" s="87"/>
    </row>
    <row r="104" spans="1:9" ht="38.25">
      <c r="A104" s="88"/>
      <c r="B104" s="88"/>
      <c r="C104" s="51" t="s">
        <v>1042</v>
      </c>
      <c r="D104" s="52" t="s">
        <v>1244</v>
      </c>
      <c r="E104" s="52" t="s">
        <v>1245</v>
      </c>
      <c r="F104" s="52" t="s">
        <v>1246</v>
      </c>
      <c r="G104" s="52" t="s">
        <v>1247</v>
      </c>
      <c r="H104" s="52" t="s">
        <v>1248</v>
      </c>
      <c r="I104" s="88"/>
    </row>
    <row r="105" spans="1:9" ht="204">
      <c r="A105" s="86" t="s">
        <v>985</v>
      </c>
      <c r="B105" s="86" t="s">
        <v>1228</v>
      </c>
      <c r="C105" s="47" t="s">
        <v>1018</v>
      </c>
      <c r="D105" s="48" t="s">
        <v>1249</v>
      </c>
      <c r="E105" s="48" t="s">
        <v>1250</v>
      </c>
      <c r="F105" s="48" t="s">
        <v>1251</v>
      </c>
      <c r="G105" s="48" t="s">
        <v>1252</v>
      </c>
      <c r="H105" s="48" t="s">
        <v>1253</v>
      </c>
      <c r="I105" s="107">
        <v>2</v>
      </c>
    </row>
    <row r="106" spans="1:9" ht="204">
      <c r="A106" s="87"/>
      <c r="B106" s="87"/>
      <c r="C106" s="49" t="s">
        <v>1024</v>
      </c>
      <c r="D106" s="48" t="s">
        <v>1249</v>
      </c>
      <c r="E106" s="48" t="s">
        <v>1250</v>
      </c>
      <c r="F106" s="48" t="s">
        <v>1251</v>
      </c>
      <c r="G106" s="48" t="s">
        <v>1252</v>
      </c>
      <c r="H106" s="48" t="s">
        <v>1253</v>
      </c>
      <c r="I106" s="87"/>
    </row>
    <row r="107" spans="1:9" ht="204">
      <c r="A107" s="87"/>
      <c r="B107" s="87"/>
      <c r="C107" s="49" t="s">
        <v>1030</v>
      </c>
      <c r="D107" s="48" t="s">
        <v>1254</v>
      </c>
      <c r="E107" s="48" t="s">
        <v>1255</v>
      </c>
      <c r="F107" s="48" t="s">
        <v>1256</v>
      </c>
      <c r="G107" s="48" t="s">
        <v>1257</v>
      </c>
      <c r="H107" s="48" t="s">
        <v>1258</v>
      </c>
      <c r="I107" s="87"/>
    </row>
    <row r="108" spans="1:9" ht="204">
      <c r="A108" s="87"/>
      <c r="B108" s="87"/>
      <c r="C108" s="50" t="s">
        <v>1036</v>
      </c>
      <c r="D108" s="48" t="s">
        <v>1259</v>
      </c>
      <c r="E108" s="48" t="s">
        <v>1260</v>
      </c>
      <c r="F108" s="48" t="s">
        <v>1261</v>
      </c>
      <c r="G108" s="48" t="s">
        <v>1262</v>
      </c>
      <c r="H108" s="48" t="s">
        <v>1263</v>
      </c>
      <c r="I108" s="87"/>
    </row>
    <row r="109" spans="1:9" ht="204">
      <c r="A109" s="88"/>
      <c r="B109" s="88"/>
      <c r="C109" s="53" t="s">
        <v>1042</v>
      </c>
      <c r="D109" s="54" t="s">
        <v>1264</v>
      </c>
      <c r="E109" s="54" t="s">
        <v>1265</v>
      </c>
      <c r="F109" s="54" t="s">
        <v>1266</v>
      </c>
      <c r="G109" s="54" t="s">
        <v>1267</v>
      </c>
      <c r="H109" s="54" t="s">
        <v>1268</v>
      </c>
      <c r="I109" s="88"/>
    </row>
    <row r="110" spans="1:9" ht="25.5">
      <c r="A110" s="86" t="s">
        <v>987</v>
      </c>
      <c r="B110" s="86" t="s">
        <v>1228</v>
      </c>
      <c r="C110" s="47" t="s">
        <v>1018</v>
      </c>
      <c r="D110" s="48" t="s">
        <v>1043</v>
      </c>
      <c r="E110" s="102" t="s">
        <v>1269</v>
      </c>
      <c r="F110" s="103"/>
      <c r="G110" s="48" t="s">
        <v>1270</v>
      </c>
      <c r="H110" s="48" t="s">
        <v>1271</v>
      </c>
      <c r="I110" s="107">
        <v>1</v>
      </c>
    </row>
    <row r="111" spans="1:9" ht="25.5">
      <c r="A111" s="87"/>
      <c r="B111" s="87"/>
      <c r="C111" s="49" t="s">
        <v>1024</v>
      </c>
      <c r="D111" s="36" t="s">
        <v>1043</v>
      </c>
      <c r="E111" s="100" t="s">
        <v>1269</v>
      </c>
      <c r="F111" s="101"/>
      <c r="G111" s="36" t="s">
        <v>1270</v>
      </c>
      <c r="H111" s="36" t="s">
        <v>1271</v>
      </c>
      <c r="I111" s="87"/>
    </row>
    <row r="112" spans="1:9" ht="25.5">
      <c r="A112" s="87"/>
      <c r="B112" s="87"/>
      <c r="C112" s="49" t="s">
        <v>1030</v>
      </c>
      <c r="D112" s="36" t="s">
        <v>1043</v>
      </c>
      <c r="E112" s="100" t="s">
        <v>1269</v>
      </c>
      <c r="F112" s="101"/>
      <c r="G112" s="36" t="s">
        <v>1270</v>
      </c>
      <c r="H112" s="36" t="s">
        <v>1271</v>
      </c>
      <c r="I112" s="87"/>
    </row>
    <row r="113" spans="1:9" ht="25.5">
      <c r="A113" s="87"/>
      <c r="B113" s="87"/>
      <c r="C113" s="50" t="s">
        <v>1036</v>
      </c>
      <c r="D113" s="36" t="s">
        <v>1043</v>
      </c>
      <c r="E113" s="100" t="s">
        <v>1272</v>
      </c>
      <c r="F113" s="101"/>
      <c r="G113" s="36" t="s">
        <v>1273</v>
      </c>
      <c r="H113" s="36" t="s">
        <v>1274</v>
      </c>
      <c r="I113" s="87"/>
    </row>
    <row r="114" spans="1:9" ht="25.5">
      <c r="A114" s="87"/>
      <c r="B114" s="87"/>
      <c r="C114" s="50" t="s">
        <v>1042</v>
      </c>
      <c r="D114" s="36" t="s">
        <v>1043</v>
      </c>
      <c r="E114" s="100" t="s">
        <v>1275</v>
      </c>
      <c r="F114" s="101"/>
      <c r="G114" s="36" t="s">
        <v>1276</v>
      </c>
      <c r="H114" s="36" t="s">
        <v>1277</v>
      </c>
      <c r="I114" s="87"/>
    </row>
    <row r="115" spans="1:9" ht="25.5">
      <c r="A115" s="87"/>
      <c r="B115" s="87"/>
      <c r="C115" s="50" t="s">
        <v>1049</v>
      </c>
      <c r="D115" s="36" t="s">
        <v>1043</v>
      </c>
      <c r="E115" s="112" t="s">
        <v>1278</v>
      </c>
      <c r="F115" s="101"/>
      <c r="G115" s="55" t="s">
        <v>1279</v>
      </c>
      <c r="H115" s="55" t="s">
        <v>1280</v>
      </c>
      <c r="I115" s="87"/>
    </row>
    <row r="116" spans="1:9" ht="25.5">
      <c r="A116" s="88"/>
      <c r="B116" s="88"/>
      <c r="C116" s="56" t="s">
        <v>1053</v>
      </c>
      <c r="D116" s="52" t="s">
        <v>1043</v>
      </c>
      <c r="E116" s="110" t="s">
        <v>1281</v>
      </c>
      <c r="F116" s="111"/>
      <c r="G116" s="52" t="s">
        <v>1282</v>
      </c>
      <c r="H116" s="52" t="s">
        <v>1283</v>
      </c>
      <c r="I116" s="88"/>
    </row>
    <row r="117" spans="1:9" ht="25.5">
      <c r="A117" s="86" t="s">
        <v>989</v>
      </c>
      <c r="B117" s="86" t="s">
        <v>1228</v>
      </c>
      <c r="C117" s="47" t="s">
        <v>1018</v>
      </c>
      <c r="D117" s="48" t="s">
        <v>1043</v>
      </c>
      <c r="E117" s="102" t="s">
        <v>1284</v>
      </c>
      <c r="F117" s="103"/>
      <c r="G117" s="48" t="s">
        <v>1285</v>
      </c>
      <c r="H117" s="48" t="s">
        <v>1286</v>
      </c>
      <c r="I117" s="107">
        <v>1</v>
      </c>
    </row>
    <row r="118" spans="1:9" ht="25.5">
      <c r="A118" s="87"/>
      <c r="B118" s="87"/>
      <c r="C118" s="49" t="s">
        <v>1024</v>
      </c>
      <c r="D118" s="36" t="s">
        <v>1043</v>
      </c>
      <c r="E118" s="100" t="s">
        <v>1284</v>
      </c>
      <c r="F118" s="101"/>
      <c r="G118" s="36" t="s">
        <v>1285</v>
      </c>
      <c r="H118" s="36" t="s">
        <v>1286</v>
      </c>
      <c r="I118" s="87"/>
    </row>
    <row r="119" spans="1:9" ht="25.5">
      <c r="A119" s="87"/>
      <c r="B119" s="87"/>
      <c r="C119" s="49" t="s">
        <v>1030</v>
      </c>
      <c r="D119" s="36" t="s">
        <v>1043</v>
      </c>
      <c r="E119" s="100" t="s">
        <v>1284</v>
      </c>
      <c r="F119" s="101"/>
      <c r="G119" s="36" t="s">
        <v>1285</v>
      </c>
      <c r="H119" s="36" t="s">
        <v>1286</v>
      </c>
      <c r="I119" s="87"/>
    </row>
    <row r="120" spans="1:9" ht="25.5">
      <c r="A120" s="87"/>
      <c r="B120" s="87"/>
      <c r="C120" s="50" t="s">
        <v>1036</v>
      </c>
      <c r="D120" s="36" t="s">
        <v>1043</v>
      </c>
      <c r="E120" s="100" t="s">
        <v>1287</v>
      </c>
      <c r="F120" s="101"/>
      <c r="G120" s="36" t="s">
        <v>1288</v>
      </c>
      <c r="H120" s="36" t="s">
        <v>1289</v>
      </c>
      <c r="I120" s="87"/>
    </row>
    <row r="121" spans="1:9" ht="25.5">
      <c r="A121" s="87"/>
      <c r="B121" s="87"/>
      <c r="C121" s="50" t="s">
        <v>1042</v>
      </c>
      <c r="D121" s="36" t="s">
        <v>1043</v>
      </c>
      <c r="E121" s="100" t="s">
        <v>1290</v>
      </c>
      <c r="F121" s="101"/>
      <c r="G121" s="36" t="s">
        <v>1291</v>
      </c>
      <c r="H121" s="36" t="s">
        <v>1292</v>
      </c>
      <c r="I121" s="87"/>
    </row>
    <row r="122" spans="1:9" ht="25.5">
      <c r="A122" s="87"/>
      <c r="B122" s="87"/>
      <c r="C122" s="50" t="s">
        <v>1049</v>
      </c>
      <c r="D122" s="36" t="s">
        <v>1043</v>
      </c>
      <c r="E122" s="112" t="s">
        <v>1293</v>
      </c>
      <c r="F122" s="101"/>
      <c r="G122" s="55" t="s">
        <v>1294</v>
      </c>
      <c r="H122" s="55" t="s">
        <v>1295</v>
      </c>
      <c r="I122" s="87"/>
    </row>
    <row r="123" spans="1:9" ht="25.5">
      <c r="A123" s="88"/>
      <c r="B123" s="88"/>
      <c r="C123" s="57" t="s">
        <v>1053</v>
      </c>
      <c r="D123" s="37" t="s">
        <v>1043</v>
      </c>
      <c r="E123" s="94" t="s">
        <v>1296</v>
      </c>
      <c r="F123" s="95"/>
      <c r="G123" s="37" t="s">
        <v>1297</v>
      </c>
      <c r="H123" s="37" t="s">
        <v>1298</v>
      </c>
      <c r="I123" s="88"/>
    </row>
    <row r="124" spans="1:9" ht="25.5">
      <c r="A124" s="89" t="s">
        <v>648</v>
      </c>
      <c r="B124" s="89" t="s">
        <v>992</v>
      </c>
      <c r="C124" s="58" t="s">
        <v>1018</v>
      </c>
      <c r="D124" s="59" t="s">
        <v>1299</v>
      </c>
      <c r="E124" s="59" t="s">
        <v>1300</v>
      </c>
      <c r="F124" s="59" t="s">
        <v>1301</v>
      </c>
      <c r="G124" s="59" t="s">
        <v>1302</v>
      </c>
      <c r="H124" s="59" t="s">
        <v>1303</v>
      </c>
      <c r="I124" s="60">
        <v>2</v>
      </c>
    </row>
    <row r="125" spans="1:9" ht="12.75">
      <c r="A125" s="87"/>
      <c r="B125" s="87"/>
      <c r="C125" s="49" t="s">
        <v>1024</v>
      </c>
      <c r="D125" s="34" t="s">
        <v>1043</v>
      </c>
      <c r="E125" s="100" t="s">
        <v>1304</v>
      </c>
      <c r="F125" s="106"/>
      <c r="G125" s="106"/>
      <c r="H125" s="101"/>
      <c r="I125" s="50">
        <v>1</v>
      </c>
    </row>
    <row r="126" spans="1:9" ht="12.75">
      <c r="A126" s="87"/>
      <c r="B126" s="87"/>
      <c r="C126" s="49" t="s">
        <v>1030</v>
      </c>
      <c r="D126" s="36" t="s">
        <v>1043</v>
      </c>
      <c r="E126" s="100" t="s">
        <v>1305</v>
      </c>
      <c r="F126" s="106"/>
      <c r="G126" s="106"/>
      <c r="H126" s="101"/>
      <c r="I126" s="50">
        <v>1</v>
      </c>
    </row>
    <row r="127" spans="1:9" ht="12.75">
      <c r="A127" s="87"/>
      <c r="B127" s="87"/>
      <c r="C127" s="50" t="s">
        <v>1036</v>
      </c>
      <c r="D127" s="36" t="s">
        <v>1043</v>
      </c>
      <c r="E127" s="100" t="s">
        <v>1306</v>
      </c>
      <c r="F127" s="106"/>
      <c r="G127" s="106"/>
      <c r="H127" s="101"/>
      <c r="I127" s="50">
        <v>2</v>
      </c>
    </row>
    <row r="128" spans="1:9" ht="51">
      <c r="A128" s="87"/>
      <c r="B128" s="87"/>
      <c r="C128" s="50" t="s">
        <v>1042</v>
      </c>
      <c r="D128" s="36" t="s">
        <v>1043</v>
      </c>
      <c r="E128" s="100" t="s">
        <v>1307</v>
      </c>
      <c r="F128" s="101"/>
      <c r="G128" s="36" t="s">
        <v>1308</v>
      </c>
      <c r="H128" s="36" t="s">
        <v>1309</v>
      </c>
      <c r="I128" s="50">
        <v>2</v>
      </c>
    </row>
    <row r="129" spans="1:9" ht="25.5">
      <c r="A129" s="90"/>
      <c r="B129" s="90"/>
      <c r="C129" s="61" t="s">
        <v>1049</v>
      </c>
      <c r="D129" s="36" t="s">
        <v>1043</v>
      </c>
      <c r="E129" s="36" t="s">
        <v>1310</v>
      </c>
      <c r="F129" s="36" t="s">
        <v>1311</v>
      </c>
      <c r="G129" s="36" t="s">
        <v>1312</v>
      </c>
      <c r="H129" s="36" t="s">
        <v>1313</v>
      </c>
      <c r="I129" s="36">
        <v>3</v>
      </c>
    </row>
    <row r="130" spans="1:9" ht="25.5">
      <c r="A130" s="89" t="s">
        <v>650</v>
      </c>
      <c r="B130" s="89" t="s">
        <v>993</v>
      </c>
      <c r="C130" s="58" t="s">
        <v>1018</v>
      </c>
      <c r="D130" s="59" t="s">
        <v>1299</v>
      </c>
      <c r="E130" s="59" t="s">
        <v>1300</v>
      </c>
      <c r="F130" s="59" t="s">
        <v>1301</v>
      </c>
      <c r="G130" s="59" t="s">
        <v>1302</v>
      </c>
      <c r="H130" s="59" t="s">
        <v>1303</v>
      </c>
      <c r="I130" s="60">
        <v>2</v>
      </c>
    </row>
    <row r="131" spans="1:9" ht="12.75">
      <c r="A131" s="87"/>
      <c r="B131" s="87"/>
      <c r="C131" s="49" t="s">
        <v>1024</v>
      </c>
      <c r="D131" s="34" t="s">
        <v>1043</v>
      </c>
      <c r="E131" s="100" t="s">
        <v>1314</v>
      </c>
      <c r="F131" s="106"/>
      <c r="G131" s="106"/>
      <c r="H131" s="101"/>
      <c r="I131" s="50">
        <v>1</v>
      </c>
    </row>
    <row r="132" spans="1:9" ht="12.75">
      <c r="A132" s="87"/>
      <c r="B132" s="87"/>
      <c r="C132" s="49" t="s">
        <v>1030</v>
      </c>
      <c r="D132" s="36" t="s">
        <v>1043</v>
      </c>
      <c r="E132" s="100" t="s">
        <v>1305</v>
      </c>
      <c r="F132" s="106"/>
      <c r="G132" s="106"/>
      <c r="H132" s="101"/>
      <c r="I132" s="50">
        <v>1</v>
      </c>
    </row>
    <row r="133" spans="1:9" ht="12.75">
      <c r="A133" s="87"/>
      <c r="B133" s="87"/>
      <c r="C133" s="50" t="s">
        <v>1036</v>
      </c>
      <c r="D133" s="36" t="s">
        <v>1043</v>
      </c>
      <c r="E133" s="100" t="s">
        <v>1306</v>
      </c>
      <c r="F133" s="106"/>
      <c r="G133" s="106"/>
      <c r="H133" s="101"/>
      <c r="I133" s="50">
        <v>2</v>
      </c>
    </row>
    <row r="134" spans="1:9" ht="51">
      <c r="A134" s="90"/>
      <c r="B134" s="90"/>
      <c r="C134" s="61" t="s">
        <v>1042</v>
      </c>
      <c r="D134" s="62" t="s">
        <v>1043</v>
      </c>
      <c r="E134" s="104" t="s">
        <v>1307</v>
      </c>
      <c r="F134" s="105"/>
      <c r="G134" s="62" t="s">
        <v>1308</v>
      </c>
      <c r="H134" s="62" t="s">
        <v>1309</v>
      </c>
      <c r="I134" s="61">
        <v>2</v>
      </c>
    </row>
    <row r="135" spans="1:9" ht="25.5">
      <c r="A135" s="89" t="s">
        <v>768</v>
      </c>
      <c r="B135" s="89" t="s">
        <v>994</v>
      </c>
      <c r="C135" s="58" t="s">
        <v>1018</v>
      </c>
      <c r="D135" s="59" t="s">
        <v>1299</v>
      </c>
      <c r="E135" s="59" t="s">
        <v>1300</v>
      </c>
      <c r="F135" s="59" t="s">
        <v>1301</v>
      </c>
      <c r="G135" s="59" t="s">
        <v>1302</v>
      </c>
      <c r="H135" s="59" t="s">
        <v>1303</v>
      </c>
      <c r="I135" s="60">
        <v>2</v>
      </c>
    </row>
    <row r="136" spans="1:9" ht="12.75">
      <c r="A136" s="87"/>
      <c r="B136" s="87"/>
      <c r="C136" s="49" t="s">
        <v>1024</v>
      </c>
      <c r="D136" s="34" t="s">
        <v>1043</v>
      </c>
      <c r="E136" s="100" t="s">
        <v>1315</v>
      </c>
      <c r="F136" s="106"/>
      <c r="G136" s="106"/>
      <c r="H136" s="101"/>
      <c r="I136" s="50">
        <v>1</v>
      </c>
    </row>
    <row r="137" spans="1:9" ht="12.75">
      <c r="A137" s="87"/>
      <c r="B137" s="87"/>
      <c r="C137" s="49" t="s">
        <v>1030</v>
      </c>
      <c r="D137" s="36" t="s">
        <v>1043</v>
      </c>
      <c r="E137" s="100" t="s">
        <v>1316</v>
      </c>
      <c r="F137" s="106"/>
      <c r="G137" s="106"/>
      <c r="H137" s="101"/>
      <c r="I137" s="50">
        <v>1</v>
      </c>
    </row>
    <row r="138" spans="1:9" ht="12.75">
      <c r="A138" s="87"/>
      <c r="B138" s="87"/>
      <c r="C138" s="50" t="s">
        <v>1036</v>
      </c>
      <c r="D138" s="36" t="s">
        <v>1043</v>
      </c>
      <c r="E138" s="100" t="s">
        <v>1317</v>
      </c>
      <c r="F138" s="106"/>
      <c r="G138" s="106"/>
      <c r="H138" s="101"/>
      <c r="I138" s="50">
        <v>2</v>
      </c>
    </row>
    <row r="139" spans="1:9" ht="51">
      <c r="A139" s="90"/>
      <c r="B139" s="90"/>
      <c r="C139" s="61" t="s">
        <v>1042</v>
      </c>
      <c r="D139" s="62" t="s">
        <v>1043</v>
      </c>
      <c r="E139" s="104" t="s">
        <v>1307</v>
      </c>
      <c r="F139" s="105"/>
      <c r="G139" s="62" t="s">
        <v>1308</v>
      </c>
      <c r="H139" s="62" t="s">
        <v>1309</v>
      </c>
      <c r="I139" s="61">
        <v>2</v>
      </c>
    </row>
    <row r="140" spans="1:9" ht="25.5">
      <c r="A140" s="89" t="s">
        <v>774</v>
      </c>
      <c r="B140" s="89" t="s">
        <v>995</v>
      </c>
      <c r="C140" s="58" t="s">
        <v>1018</v>
      </c>
      <c r="D140" s="59" t="s">
        <v>1299</v>
      </c>
      <c r="E140" s="59" t="s">
        <v>1300</v>
      </c>
      <c r="F140" s="59" t="s">
        <v>1301</v>
      </c>
      <c r="G140" s="59" t="s">
        <v>1302</v>
      </c>
      <c r="H140" s="59" t="s">
        <v>1303</v>
      </c>
      <c r="I140" s="60">
        <v>2</v>
      </c>
    </row>
    <row r="141" spans="1:9" ht="12.75">
      <c r="A141" s="87"/>
      <c r="B141" s="87"/>
      <c r="C141" s="49" t="s">
        <v>1024</v>
      </c>
      <c r="D141" s="34" t="s">
        <v>1043</v>
      </c>
      <c r="E141" s="100" t="s">
        <v>1318</v>
      </c>
      <c r="F141" s="106"/>
      <c r="G141" s="106"/>
      <c r="H141" s="101"/>
      <c r="I141" s="50">
        <v>1</v>
      </c>
    </row>
    <row r="142" spans="1:9" ht="12.75">
      <c r="A142" s="87"/>
      <c r="B142" s="87"/>
      <c r="C142" s="49" t="s">
        <v>1030</v>
      </c>
      <c r="D142" s="36" t="s">
        <v>1043</v>
      </c>
      <c r="E142" s="100" t="s">
        <v>1316</v>
      </c>
      <c r="F142" s="106"/>
      <c r="G142" s="106"/>
      <c r="H142" s="101"/>
      <c r="I142" s="50">
        <v>1</v>
      </c>
    </row>
    <row r="143" spans="1:9" ht="12.75">
      <c r="A143" s="87"/>
      <c r="B143" s="87"/>
      <c r="C143" s="50" t="s">
        <v>1036</v>
      </c>
      <c r="D143" s="36" t="s">
        <v>1043</v>
      </c>
      <c r="E143" s="100" t="s">
        <v>1317</v>
      </c>
      <c r="F143" s="106"/>
      <c r="G143" s="106"/>
      <c r="H143" s="101"/>
      <c r="I143" s="50">
        <v>2</v>
      </c>
    </row>
    <row r="144" spans="1:9" ht="51">
      <c r="A144" s="90"/>
      <c r="B144" s="90"/>
      <c r="C144" s="61" t="s">
        <v>1042</v>
      </c>
      <c r="D144" s="62" t="s">
        <v>1043</v>
      </c>
      <c r="E144" s="104" t="s">
        <v>1307</v>
      </c>
      <c r="F144" s="105"/>
      <c r="G144" s="62" t="s">
        <v>1308</v>
      </c>
      <c r="H144" s="62" t="s">
        <v>1309</v>
      </c>
      <c r="I144" s="61">
        <v>2</v>
      </c>
    </row>
    <row r="145" spans="1:9" ht="25.5">
      <c r="A145" s="89" t="s">
        <v>786</v>
      </c>
      <c r="B145" s="89" t="s">
        <v>996</v>
      </c>
      <c r="C145" s="58" t="s">
        <v>1018</v>
      </c>
      <c r="D145" s="59" t="s">
        <v>1299</v>
      </c>
      <c r="E145" s="59" t="s">
        <v>1300</v>
      </c>
      <c r="F145" s="59" t="s">
        <v>1301</v>
      </c>
      <c r="G145" s="59" t="s">
        <v>1302</v>
      </c>
      <c r="H145" s="59" t="s">
        <v>1303</v>
      </c>
      <c r="I145" s="60">
        <v>2</v>
      </c>
    </row>
    <row r="146" spans="1:9" ht="12.75">
      <c r="A146" s="87"/>
      <c r="B146" s="87"/>
      <c r="C146" s="49" t="s">
        <v>1024</v>
      </c>
      <c r="D146" s="34" t="s">
        <v>1043</v>
      </c>
      <c r="E146" s="100" t="s">
        <v>1319</v>
      </c>
      <c r="F146" s="106"/>
      <c r="G146" s="106"/>
      <c r="H146" s="101"/>
      <c r="I146" s="50">
        <v>1</v>
      </c>
    </row>
    <row r="147" spans="1:9" ht="12.75">
      <c r="A147" s="87"/>
      <c r="B147" s="87"/>
      <c r="C147" s="49" t="s">
        <v>1030</v>
      </c>
      <c r="D147" s="36" t="s">
        <v>1043</v>
      </c>
      <c r="E147" s="100" t="s">
        <v>1320</v>
      </c>
      <c r="F147" s="106"/>
      <c r="G147" s="106"/>
      <c r="H147" s="101"/>
      <c r="I147" s="50">
        <v>1</v>
      </c>
    </row>
    <row r="148" spans="1:9" ht="12.75">
      <c r="A148" s="87"/>
      <c r="B148" s="87"/>
      <c r="C148" s="50" t="s">
        <v>1036</v>
      </c>
      <c r="D148" s="36" t="s">
        <v>1043</v>
      </c>
      <c r="E148" s="100" t="s">
        <v>1317</v>
      </c>
      <c r="F148" s="106"/>
      <c r="G148" s="106"/>
      <c r="H148" s="101"/>
      <c r="I148" s="50">
        <v>2</v>
      </c>
    </row>
    <row r="149" spans="1:9" ht="51">
      <c r="A149" s="90"/>
      <c r="B149" s="90"/>
      <c r="C149" s="61" t="s">
        <v>1042</v>
      </c>
      <c r="D149" s="62" t="s">
        <v>1043</v>
      </c>
      <c r="E149" s="104" t="s">
        <v>1307</v>
      </c>
      <c r="F149" s="105"/>
      <c r="G149" s="62" t="s">
        <v>1308</v>
      </c>
      <c r="H149" s="62" t="s">
        <v>1309</v>
      </c>
      <c r="I149" s="61">
        <v>2</v>
      </c>
    </row>
    <row r="150" spans="1:9" ht="25.5">
      <c r="A150" s="89" t="s">
        <v>780</v>
      </c>
      <c r="B150" s="89" t="s">
        <v>997</v>
      </c>
      <c r="C150" s="58" t="s">
        <v>1018</v>
      </c>
      <c r="D150" s="59" t="s">
        <v>1299</v>
      </c>
      <c r="E150" s="59" t="s">
        <v>1300</v>
      </c>
      <c r="F150" s="59" t="s">
        <v>1301</v>
      </c>
      <c r="G150" s="59" t="s">
        <v>1302</v>
      </c>
      <c r="H150" s="59" t="s">
        <v>1303</v>
      </c>
      <c r="I150" s="60">
        <v>2</v>
      </c>
    </row>
    <row r="151" spans="1:9" ht="12.75">
      <c r="A151" s="87"/>
      <c r="B151" s="87"/>
      <c r="C151" s="49" t="s">
        <v>1024</v>
      </c>
      <c r="D151" s="34" t="s">
        <v>1043</v>
      </c>
      <c r="E151" s="100" t="s">
        <v>1321</v>
      </c>
      <c r="F151" s="106"/>
      <c r="G151" s="106"/>
      <c r="H151" s="101"/>
      <c r="I151" s="50">
        <v>1</v>
      </c>
    </row>
    <row r="152" spans="1:9" ht="12.75">
      <c r="A152" s="87"/>
      <c r="B152" s="87"/>
      <c r="C152" s="49" t="s">
        <v>1030</v>
      </c>
      <c r="D152" s="36" t="s">
        <v>1043</v>
      </c>
      <c r="E152" s="100" t="s">
        <v>1320</v>
      </c>
      <c r="F152" s="106"/>
      <c r="G152" s="106"/>
      <c r="H152" s="101"/>
      <c r="I152" s="50">
        <v>1</v>
      </c>
    </row>
    <row r="153" spans="1:9" ht="12.75">
      <c r="A153" s="87"/>
      <c r="B153" s="87"/>
      <c r="C153" s="50" t="s">
        <v>1036</v>
      </c>
      <c r="D153" s="36" t="s">
        <v>1043</v>
      </c>
      <c r="E153" s="100" t="s">
        <v>1317</v>
      </c>
      <c r="F153" s="106"/>
      <c r="G153" s="106"/>
      <c r="H153" s="101"/>
      <c r="I153" s="50">
        <v>2</v>
      </c>
    </row>
    <row r="154" spans="1:9" ht="51">
      <c r="A154" s="90"/>
      <c r="B154" s="90"/>
      <c r="C154" s="61" t="s">
        <v>1042</v>
      </c>
      <c r="D154" s="62" t="s">
        <v>1043</v>
      </c>
      <c r="E154" s="104" t="s">
        <v>1307</v>
      </c>
      <c r="F154" s="105"/>
      <c r="G154" s="62" t="s">
        <v>1308</v>
      </c>
      <c r="H154" s="62" t="s">
        <v>1309</v>
      </c>
      <c r="I154" s="61">
        <v>2</v>
      </c>
    </row>
    <row r="155" spans="1:9" ht="25.5">
      <c r="A155" s="89" t="s">
        <v>656</v>
      </c>
      <c r="B155" s="89" t="s">
        <v>998</v>
      </c>
      <c r="C155" s="58" t="s">
        <v>1018</v>
      </c>
      <c r="D155" s="59" t="s">
        <v>1299</v>
      </c>
      <c r="E155" s="59" t="s">
        <v>1300</v>
      </c>
      <c r="F155" s="59" t="s">
        <v>1301</v>
      </c>
      <c r="G155" s="59" t="s">
        <v>1302</v>
      </c>
      <c r="H155" s="59" t="s">
        <v>1303</v>
      </c>
      <c r="I155" s="60">
        <v>2</v>
      </c>
    </row>
    <row r="156" spans="1:9" ht="12.75">
      <c r="A156" s="87"/>
      <c r="B156" s="87"/>
      <c r="C156" s="49" t="s">
        <v>1024</v>
      </c>
      <c r="D156" s="34" t="s">
        <v>1043</v>
      </c>
      <c r="E156" s="100" t="s">
        <v>1322</v>
      </c>
      <c r="F156" s="106"/>
      <c r="G156" s="106"/>
      <c r="H156" s="101"/>
      <c r="I156" s="50">
        <v>1</v>
      </c>
    </row>
    <row r="157" spans="1:9" ht="12.75">
      <c r="A157" s="87"/>
      <c r="B157" s="87"/>
      <c r="C157" s="49" t="s">
        <v>1030</v>
      </c>
      <c r="D157" s="36" t="s">
        <v>1043</v>
      </c>
      <c r="E157" s="100" t="s">
        <v>1323</v>
      </c>
      <c r="F157" s="106"/>
      <c r="G157" s="106"/>
      <c r="H157" s="101"/>
      <c r="I157" s="50">
        <v>1</v>
      </c>
    </row>
    <row r="158" spans="1:9" ht="12.75">
      <c r="A158" s="87"/>
      <c r="B158" s="87"/>
      <c r="C158" s="50" t="s">
        <v>1036</v>
      </c>
      <c r="D158" s="36" t="s">
        <v>1043</v>
      </c>
      <c r="E158" s="100" t="s">
        <v>1306</v>
      </c>
      <c r="F158" s="106"/>
      <c r="G158" s="106"/>
      <c r="H158" s="101"/>
      <c r="I158" s="50">
        <v>2</v>
      </c>
    </row>
    <row r="159" spans="1:9" ht="51">
      <c r="A159" s="90"/>
      <c r="B159" s="90"/>
      <c r="C159" s="61" t="s">
        <v>1042</v>
      </c>
      <c r="D159" s="62" t="s">
        <v>1043</v>
      </c>
      <c r="E159" s="104" t="s">
        <v>1307</v>
      </c>
      <c r="F159" s="105"/>
      <c r="G159" s="62" t="s">
        <v>1308</v>
      </c>
      <c r="H159" s="62" t="s">
        <v>1309</v>
      </c>
      <c r="I159" s="61">
        <v>2</v>
      </c>
    </row>
    <row r="160" spans="1:9" ht="25.5">
      <c r="A160" s="89" t="s">
        <v>658</v>
      </c>
      <c r="B160" s="89" t="s">
        <v>999</v>
      </c>
      <c r="C160" s="58" t="s">
        <v>1018</v>
      </c>
      <c r="D160" s="59" t="s">
        <v>1299</v>
      </c>
      <c r="E160" s="59" t="s">
        <v>1300</v>
      </c>
      <c r="F160" s="59" t="s">
        <v>1301</v>
      </c>
      <c r="G160" s="59" t="s">
        <v>1302</v>
      </c>
      <c r="H160" s="59" t="s">
        <v>1303</v>
      </c>
      <c r="I160" s="60">
        <v>2</v>
      </c>
    </row>
    <row r="161" spans="1:9" ht="12.75">
      <c r="A161" s="87"/>
      <c r="B161" s="87"/>
      <c r="C161" s="49" t="s">
        <v>1024</v>
      </c>
      <c r="D161" s="34" t="s">
        <v>1043</v>
      </c>
      <c r="F161" s="63"/>
      <c r="G161" s="100" t="s">
        <v>1324</v>
      </c>
      <c r="H161" s="101"/>
      <c r="I161" s="50">
        <v>1</v>
      </c>
    </row>
    <row r="162" spans="1:9" ht="12.75">
      <c r="A162" s="87"/>
      <c r="B162" s="87"/>
      <c r="C162" s="49" t="s">
        <v>1030</v>
      </c>
      <c r="D162" s="36" t="s">
        <v>1043</v>
      </c>
      <c r="E162" s="100" t="s">
        <v>1323</v>
      </c>
      <c r="F162" s="106"/>
      <c r="G162" s="106"/>
      <c r="H162" s="101"/>
      <c r="I162" s="50">
        <v>1</v>
      </c>
    </row>
    <row r="163" spans="1:9" ht="12.75">
      <c r="A163" s="87"/>
      <c r="B163" s="87"/>
      <c r="C163" s="50" t="s">
        <v>1036</v>
      </c>
      <c r="D163" s="36" t="s">
        <v>1043</v>
      </c>
      <c r="E163" s="100" t="s">
        <v>1306</v>
      </c>
      <c r="F163" s="106"/>
      <c r="G163" s="106"/>
      <c r="H163" s="101"/>
      <c r="I163" s="50">
        <v>2</v>
      </c>
    </row>
    <row r="164" spans="1:9" ht="51">
      <c r="A164" s="90"/>
      <c r="B164" s="90"/>
      <c r="C164" s="61" t="s">
        <v>1042</v>
      </c>
      <c r="D164" s="62" t="s">
        <v>1043</v>
      </c>
      <c r="E164" s="104" t="s">
        <v>1307</v>
      </c>
      <c r="F164" s="105"/>
      <c r="G164" s="62" t="s">
        <v>1308</v>
      </c>
      <c r="H164" s="62" t="s">
        <v>1309</v>
      </c>
      <c r="I164" s="61">
        <v>2</v>
      </c>
    </row>
    <row r="165" spans="1:9" ht="25.5">
      <c r="A165" s="89" t="s">
        <v>802</v>
      </c>
      <c r="B165" s="89" t="s">
        <v>1000</v>
      </c>
      <c r="C165" s="58" t="s">
        <v>1018</v>
      </c>
      <c r="D165" s="59" t="s">
        <v>1299</v>
      </c>
      <c r="E165" s="59" t="s">
        <v>1300</v>
      </c>
      <c r="F165" s="59" t="s">
        <v>1301</v>
      </c>
      <c r="G165" s="59" t="s">
        <v>1302</v>
      </c>
      <c r="H165" s="59" t="s">
        <v>1303</v>
      </c>
      <c r="I165" s="60">
        <v>2</v>
      </c>
    </row>
    <row r="166" spans="1:9" ht="12.75">
      <c r="A166" s="87"/>
      <c r="B166" s="87"/>
      <c r="C166" s="49" t="s">
        <v>1024</v>
      </c>
      <c r="D166" s="34" t="s">
        <v>1043</v>
      </c>
      <c r="E166" s="100" t="s">
        <v>1325</v>
      </c>
      <c r="F166" s="106"/>
      <c r="G166" s="106"/>
      <c r="H166" s="101"/>
      <c r="I166" s="50">
        <v>1</v>
      </c>
    </row>
    <row r="167" spans="1:9" ht="12.75">
      <c r="A167" s="87"/>
      <c r="B167" s="87"/>
      <c r="C167" s="49" t="s">
        <v>1030</v>
      </c>
      <c r="D167" s="36" t="s">
        <v>1043</v>
      </c>
      <c r="E167" s="100" t="s">
        <v>1326</v>
      </c>
      <c r="F167" s="106"/>
      <c r="G167" s="106"/>
      <c r="H167" s="101"/>
      <c r="I167" s="50">
        <v>1</v>
      </c>
    </row>
    <row r="168" spans="1:9" ht="12.75">
      <c r="A168" s="87"/>
      <c r="B168" s="87"/>
      <c r="C168" s="50" t="s">
        <v>1036</v>
      </c>
      <c r="D168" s="36" t="s">
        <v>1043</v>
      </c>
      <c r="E168" s="100" t="s">
        <v>1306</v>
      </c>
      <c r="F168" s="106"/>
      <c r="G168" s="106"/>
      <c r="H168" s="101"/>
      <c r="I168" s="50">
        <v>2</v>
      </c>
    </row>
    <row r="169" spans="1:9" ht="51">
      <c r="A169" s="90"/>
      <c r="B169" s="90"/>
      <c r="C169" s="61" t="s">
        <v>1042</v>
      </c>
      <c r="D169" s="62" t="s">
        <v>1043</v>
      </c>
      <c r="E169" s="104" t="s">
        <v>1307</v>
      </c>
      <c r="F169" s="105"/>
      <c r="G169" s="62" t="s">
        <v>1308</v>
      </c>
      <c r="H169" s="62" t="s">
        <v>1309</v>
      </c>
      <c r="I169" s="61">
        <v>2</v>
      </c>
    </row>
    <row r="170" spans="1:9" ht="25.5">
      <c r="A170" s="89" t="s">
        <v>1327</v>
      </c>
      <c r="B170" s="89" t="s">
        <v>1001</v>
      </c>
      <c r="C170" s="58" t="s">
        <v>1018</v>
      </c>
      <c r="D170" s="59" t="s">
        <v>1299</v>
      </c>
      <c r="E170" s="59" t="s">
        <v>1300</v>
      </c>
      <c r="F170" s="59" t="s">
        <v>1301</v>
      </c>
      <c r="G170" s="59" t="s">
        <v>1302</v>
      </c>
      <c r="H170" s="59" t="s">
        <v>1303</v>
      </c>
      <c r="I170" s="60">
        <v>2</v>
      </c>
    </row>
    <row r="171" spans="1:9" ht="12.75">
      <c r="A171" s="87"/>
      <c r="B171" s="87"/>
      <c r="C171" s="49" t="s">
        <v>1024</v>
      </c>
      <c r="D171" s="34" t="s">
        <v>1043</v>
      </c>
      <c r="E171" s="100" t="s">
        <v>1328</v>
      </c>
      <c r="F171" s="106"/>
      <c r="G171" s="106"/>
      <c r="H171" s="101"/>
      <c r="I171" s="50">
        <v>1</v>
      </c>
    </row>
    <row r="172" spans="1:9" ht="12.75">
      <c r="A172" s="87"/>
      <c r="B172" s="87"/>
      <c r="C172" s="49" t="s">
        <v>1030</v>
      </c>
      <c r="D172" s="36" t="s">
        <v>1043</v>
      </c>
      <c r="E172" s="100" t="s">
        <v>1326</v>
      </c>
      <c r="F172" s="106"/>
      <c r="G172" s="106"/>
      <c r="H172" s="101"/>
      <c r="I172" s="50">
        <v>1</v>
      </c>
    </row>
    <row r="173" spans="1:9" ht="12.75">
      <c r="A173" s="87"/>
      <c r="B173" s="87"/>
      <c r="C173" s="50" t="s">
        <v>1036</v>
      </c>
      <c r="D173" s="36" t="s">
        <v>1043</v>
      </c>
      <c r="E173" s="100" t="s">
        <v>1306</v>
      </c>
      <c r="F173" s="106"/>
      <c r="G173" s="106"/>
      <c r="H173" s="101"/>
      <c r="I173" s="50">
        <v>2</v>
      </c>
    </row>
    <row r="174" spans="1:9" ht="51">
      <c r="A174" s="90"/>
      <c r="B174" s="90"/>
      <c r="C174" s="61" t="s">
        <v>1042</v>
      </c>
      <c r="D174" s="62" t="s">
        <v>1043</v>
      </c>
      <c r="E174" s="104" t="s">
        <v>1307</v>
      </c>
      <c r="F174" s="105"/>
      <c r="G174" s="62" t="s">
        <v>1308</v>
      </c>
      <c r="H174" s="62" t="s">
        <v>1309</v>
      </c>
      <c r="I174" s="61">
        <v>2</v>
      </c>
    </row>
    <row r="175" spans="1:9" ht="25.5">
      <c r="A175" s="89" t="s">
        <v>1002</v>
      </c>
      <c r="B175" s="89" t="s">
        <v>1003</v>
      </c>
      <c r="C175" s="58" t="s">
        <v>1018</v>
      </c>
      <c r="D175" s="59" t="s">
        <v>1299</v>
      </c>
      <c r="E175" s="59" t="s">
        <v>1300</v>
      </c>
      <c r="F175" s="59" t="s">
        <v>1301</v>
      </c>
      <c r="G175" s="59" t="s">
        <v>1302</v>
      </c>
      <c r="H175" s="59" t="s">
        <v>1303</v>
      </c>
      <c r="I175" s="60">
        <v>2</v>
      </c>
    </row>
    <row r="176" spans="1:9" ht="12.75">
      <c r="A176" s="87"/>
      <c r="B176" s="87"/>
      <c r="C176" s="49" t="s">
        <v>1024</v>
      </c>
      <c r="D176" s="34" t="s">
        <v>1043</v>
      </c>
      <c r="E176" s="100" t="s">
        <v>1329</v>
      </c>
      <c r="F176" s="106"/>
      <c r="G176" s="106"/>
      <c r="H176" s="101"/>
      <c r="I176" s="50">
        <v>1</v>
      </c>
    </row>
    <row r="177" spans="1:9" ht="12.75">
      <c r="A177" s="87"/>
      <c r="B177" s="87"/>
      <c r="C177" s="49" t="s">
        <v>1030</v>
      </c>
      <c r="D177" s="36" t="s">
        <v>1043</v>
      </c>
      <c r="E177" s="100" t="s">
        <v>1330</v>
      </c>
      <c r="F177" s="106"/>
      <c r="G177" s="106"/>
      <c r="H177" s="101"/>
      <c r="I177" s="50">
        <v>1</v>
      </c>
    </row>
    <row r="178" spans="1:9" ht="12.75">
      <c r="A178" s="87"/>
      <c r="B178" s="87"/>
      <c r="C178" s="50" t="s">
        <v>1036</v>
      </c>
      <c r="D178" s="36" t="s">
        <v>1043</v>
      </c>
      <c r="E178" s="100" t="s">
        <v>1306</v>
      </c>
      <c r="F178" s="106"/>
      <c r="G178" s="106"/>
      <c r="H178" s="101"/>
      <c r="I178" s="50">
        <v>2</v>
      </c>
    </row>
    <row r="179" spans="1:9" ht="51">
      <c r="A179" s="90"/>
      <c r="B179" s="90"/>
      <c r="C179" s="61" t="s">
        <v>1042</v>
      </c>
      <c r="D179" s="62" t="s">
        <v>1043</v>
      </c>
      <c r="E179" s="104" t="s">
        <v>1307</v>
      </c>
      <c r="F179" s="105"/>
      <c r="G179" s="62" t="s">
        <v>1308</v>
      </c>
      <c r="H179" s="62" t="s">
        <v>1309</v>
      </c>
      <c r="I179" s="61">
        <v>2</v>
      </c>
    </row>
    <row r="180" spans="1:9" ht="25.5">
      <c r="A180" s="89" t="s">
        <v>820</v>
      </c>
      <c r="B180" s="89" t="s">
        <v>1004</v>
      </c>
      <c r="C180" s="58" t="s">
        <v>1018</v>
      </c>
      <c r="D180" s="59" t="s">
        <v>1299</v>
      </c>
      <c r="E180" s="59" t="s">
        <v>1300</v>
      </c>
      <c r="F180" s="59" t="s">
        <v>1301</v>
      </c>
      <c r="G180" s="59" t="s">
        <v>1302</v>
      </c>
      <c r="H180" s="59" t="s">
        <v>1303</v>
      </c>
      <c r="I180" s="60">
        <v>2</v>
      </c>
    </row>
    <row r="181" spans="1:9" ht="12.75">
      <c r="A181" s="87"/>
      <c r="B181" s="87"/>
      <c r="C181" s="49" t="s">
        <v>1024</v>
      </c>
      <c r="D181" s="34" t="s">
        <v>1043</v>
      </c>
      <c r="E181" s="100" t="s">
        <v>1331</v>
      </c>
      <c r="F181" s="106"/>
      <c r="G181" s="106"/>
      <c r="H181" s="101"/>
      <c r="I181" s="50">
        <v>1</v>
      </c>
    </row>
    <row r="182" spans="1:9" ht="12.75">
      <c r="A182" s="87"/>
      <c r="B182" s="87"/>
      <c r="C182" s="49" t="s">
        <v>1030</v>
      </c>
      <c r="D182" s="36" t="s">
        <v>1043</v>
      </c>
      <c r="E182" s="100" t="s">
        <v>1330</v>
      </c>
      <c r="F182" s="106"/>
      <c r="G182" s="106"/>
      <c r="H182" s="101"/>
      <c r="I182" s="50">
        <v>1</v>
      </c>
    </row>
    <row r="183" spans="1:9" ht="12.75">
      <c r="A183" s="87"/>
      <c r="B183" s="87"/>
      <c r="C183" s="50" t="s">
        <v>1036</v>
      </c>
      <c r="D183" s="36" t="s">
        <v>1043</v>
      </c>
      <c r="E183" s="100" t="s">
        <v>1306</v>
      </c>
      <c r="F183" s="106"/>
      <c r="G183" s="106"/>
      <c r="H183" s="101"/>
      <c r="I183" s="50">
        <v>2</v>
      </c>
    </row>
    <row r="184" spans="1:9" ht="51">
      <c r="A184" s="90"/>
      <c r="B184" s="90"/>
      <c r="C184" s="61" t="s">
        <v>1042</v>
      </c>
      <c r="D184" s="62" t="s">
        <v>1043</v>
      </c>
      <c r="E184" s="104" t="s">
        <v>1307</v>
      </c>
      <c r="F184" s="105"/>
      <c r="G184" s="62" t="s">
        <v>1308</v>
      </c>
      <c r="H184" s="62" t="s">
        <v>1309</v>
      </c>
      <c r="I184" s="61">
        <v>2</v>
      </c>
    </row>
    <row r="185" spans="1:9" ht="25.5">
      <c r="A185" s="89" t="s">
        <v>826</v>
      </c>
      <c r="B185" s="89" t="s">
        <v>1005</v>
      </c>
      <c r="C185" s="58" t="s">
        <v>1018</v>
      </c>
      <c r="D185" s="59" t="s">
        <v>1299</v>
      </c>
      <c r="E185" s="59" t="s">
        <v>1300</v>
      </c>
      <c r="F185" s="59" t="s">
        <v>1301</v>
      </c>
      <c r="G185" s="59" t="s">
        <v>1302</v>
      </c>
      <c r="H185" s="59" t="s">
        <v>1303</v>
      </c>
      <c r="I185" s="60">
        <v>2</v>
      </c>
    </row>
    <row r="186" spans="1:9" ht="12.75">
      <c r="A186" s="87"/>
      <c r="B186" s="87"/>
      <c r="C186" s="49" t="s">
        <v>1024</v>
      </c>
      <c r="D186" s="34" t="s">
        <v>1043</v>
      </c>
      <c r="E186" s="100" t="s">
        <v>1332</v>
      </c>
      <c r="F186" s="106"/>
      <c r="G186" s="106"/>
      <c r="H186" s="101"/>
      <c r="I186" s="50">
        <v>1</v>
      </c>
    </row>
    <row r="187" spans="1:9" ht="12.75">
      <c r="A187" s="87"/>
      <c r="B187" s="87"/>
      <c r="C187" s="49" t="s">
        <v>1030</v>
      </c>
      <c r="D187" s="36" t="s">
        <v>1043</v>
      </c>
      <c r="E187" s="100" t="s">
        <v>1333</v>
      </c>
      <c r="F187" s="106"/>
      <c r="G187" s="106"/>
      <c r="H187" s="101"/>
      <c r="I187" s="50">
        <v>1</v>
      </c>
    </row>
    <row r="188" spans="1:9" ht="12.75">
      <c r="A188" s="87"/>
      <c r="B188" s="87"/>
      <c r="C188" s="50" t="s">
        <v>1036</v>
      </c>
      <c r="D188" s="36" t="s">
        <v>1043</v>
      </c>
      <c r="E188" s="100" t="s">
        <v>1317</v>
      </c>
      <c r="F188" s="106"/>
      <c r="G188" s="106"/>
      <c r="H188" s="101"/>
      <c r="I188" s="50">
        <v>2</v>
      </c>
    </row>
    <row r="189" spans="1:9" ht="51">
      <c r="A189" s="90"/>
      <c r="B189" s="90"/>
      <c r="C189" s="61" t="s">
        <v>1042</v>
      </c>
      <c r="D189" s="62" t="s">
        <v>1043</v>
      </c>
      <c r="E189" s="104" t="s">
        <v>1307</v>
      </c>
      <c r="F189" s="105"/>
      <c r="G189" s="62" t="s">
        <v>1308</v>
      </c>
      <c r="H189" s="62" t="s">
        <v>1309</v>
      </c>
      <c r="I189" s="61">
        <v>2</v>
      </c>
    </row>
    <row r="190" spans="1:9" ht="25.5">
      <c r="A190" s="89" t="s">
        <v>666</v>
      </c>
      <c r="B190" s="89" t="s">
        <v>1006</v>
      </c>
      <c r="C190" s="58" t="s">
        <v>1018</v>
      </c>
      <c r="D190" s="59" t="s">
        <v>1299</v>
      </c>
      <c r="E190" s="59" t="s">
        <v>1300</v>
      </c>
      <c r="F190" s="59" t="s">
        <v>1301</v>
      </c>
      <c r="G190" s="59" t="s">
        <v>1302</v>
      </c>
      <c r="H190" s="59" t="s">
        <v>1303</v>
      </c>
      <c r="I190" s="60">
        <v>2</v>
      </c>
    </row>
    <row r="191" spans="1:9" ht="12.75">
      <c r="A191" s="87"/>
      <c r="B191" s="87"/>
      <c r="C191" s="49" t="s">
        <v>1024</v>
      </c>
      <c r="D191" s="34" t="s">
        <v>1043</v>
      </c>
      <c r="E191" s="100" t="s">
        <v>1334</v>
      </c>
      <c r="F191" s="106"/>
      <c r="G191" s="106"/>
      <c r="H191" s="101"/>
      <c r="I191" s="50">
        <v>1</v>
      </c>
    </row>
    <row r="192" spans="1:9" ht="12.75">
      <c r="A192" s="87"/>
      <c r="B192" s="87"/>
      <c r="C192" s="49" t="s">
        <v>1030</v>
      </c>
      <c r="D192" s="36" t="s">
        <v>1043</v>
      </c>
      <c r="E192" s="100" t="s">
        <v>1333</v>
      </c>
      <c r="F192" s="106"/>
      <c r="G192" s="106"/>
      <c r="H192" s="101"/>
      <c r="I192" s="50">
        <v>1</v>
      </c>
    </row>
    <row r="193" spans="1:9" ht="12.75">
      <c r="A193" s="87"/>
      <c r="B193" s="87"/>
      <c r="C193" s="50" t="s">
        <v>1036</v>
      </c>
      <c r="D193" s="36" t="s">
        <v>1043</v>
      </c>
      <c r="E193" s="100" t="s">
        <v>1317</v>
      </c>
      <c r="F193" s="106"/>
      <c r="G193" s="106"/>
      <c r="H193" s="101"/>
      <c r="I193" s="50">
        <v>2</v>
      </c>
    </row>
    <row r="194" spans="1:9" ht="51">
      <c r="A194" s="90"/>
      <c r="B194" s="90"/>
      <c r="C194" s="61" t="s">
        <v>1042</v>
      </c>
      <c r="D194" s="62" t="s">
        <v>1043</v>
      </c>
      <c r="E194" s="104" t="s">
        <v>1335</v>
      </c>
      <c r="F194" s="105"/>
      <c r="G194" s="62" t="s">
        <v>1336</v>
      </c>
      <c r="H194" s="62" t="s">
        <v>1337</v>
      </c>
      <c r="I194" s="61">
        <v>2</v>
      </c>
    </row>
    <row r="195" spans="1:9" ht="25.5">
      <c r="A195" s="89" t="s">
        <v>668</v>
      </c>
      <c r="B195" s="89" t="s">
        <v>1007</v>
      </c>
      <c r="C195" s="58" t="s">
        <v>1018</v>
      </c>
      <c r="D195" s="59" t="s">
        <v>1299</v>
      </c>
      <c r="E195" s="59" t="s">
        <v>1300</v>
      </c>
      <c r="F195" s="59" t="s">
        <v>1301</v>
      </c>
      <c r="G195" s="59" t="s">
        <v>1302</v>
      </c>
      <c r="H195" s="59" t="s">
        <v>1303</v>
      </c>
      <c r="I195" s="60">
        <v>2</v>
      </c>
    </row>
    <row r="196" spans="1:9" ht="12.75">
      <c r="A196" s="87"/>
      <c r="B196" s="87"/>
      <c r="C196" s="49" t="s">
        <v>1024</v>
      </c>
      <c r="D196" s="34" t="s">
        <v>1043</v>
      </c>
      <c r="E196" s="100" t="s">
        <v>1338</v>
      </c>
      <c r="F196" s="106"/>
      <c r="G196" s="106"/>
      <c r="H196" s="101"/>
      <c r="I196" s="50">
        <v>1</v>
      </c>
    </row>
    <row r="197" spans="1:9" ht="12.75">
      <c r="A197" s="87"/>
      <c r="B197" s="87"/>
      <c r="C197" s="49" t="s">
        <v>1030</v>
      </c>
      <c r="D197" s="36" t="s">
        <v>1043</v>
      </c>
      <c r="E197" s="100" t="s">
        <v>1339</v>
      </c>
      <c r="F197" s="106"/>
      <c r="G197" s="106"/>
      <c r="H197" s="101"/>
      <c r="I197" s="50">
        <v>1</v>
      </c>
    </row>
    <row r="198" spans="1:9" ht="12.75">
      <c r="A198" s="87"/>
      <c r="B198" s="87"/>
      <c r="C198" s="50" t="s">
        <v>1036</v>
      </c>
      <c r="D198" s="36" t="s">
        <v>1043</v>
      </c>
      <c r="E198" s="100" t="s">
        <v>1317</v>
      </c>
      <c r="F198" s="106"/>
      <c r="G198" s="106"/>
      <c r="H198" s="101"/>
      <c r="I198" s="50">
        <v>2</v>
      </c>
    </row>
    <row r="199" spans="1:9" ht="51">
      <c r="A199" s="90"/>
      <c r="B199" s="90"/>
      <c r="C199" s="61" t="s">
        <v>1042</v>
      </c>
      <c r="D199" s="62" t="s">
        <v>1043</v>
      </c>
      <c r="E199" s="104" t="s">
        <v>1307</v>
      </c>
      <c r="F199" s="105"/>
      <c r="G199" s="62" t="s">
        <v>1308</v>
      </c>
      <c r="H199" s="62" t="s">
        <v>1309</v>
      </c>
      <c r="I199" s="61">
        <v>2</v>
      </c>
    </row>
    <row r="200" spans="1:9" ht="25.5">
      <c r="A200" s="89" t="s">
        <v>1340</v>
      </c>
      <c r="B200" s="89" t="s">
        <v>1341</v>
      </c>
      <c r="C200" s="58" t="s">
        <v>1018</v>
      </c>
      <c r="D200" s="59" t="s">
        <v>1299</v>
      </c>
      <c r="E200" s="59" t="s">
        <v>1300</v>
      </c>
      <c r="F200" s="59" t="s">
        <v>1301</v>
      </c>
      <c r="G200" s="59" t="s">
        <v>1302</v>
      </c>
      <c r="H200" s="59" t="s">
        <v>1303</v>
      </c>
      <c r="I200" s="60">
        <v>2</v>
      </c>
    </row>
    <row r="201" spans="1:9" ht="12.75">
      <c r="A201" s="87"/>
      <c r="B201" s="87"/>
      <c r="C201" s="49" t="s">
        <v>1024</v>
      </c>
      <c r="D201" s="34" t="s">
        <v>1043</v>
      </c>
      <c r="E201" s="100" t="s">
        <v>1342</v>
      </c>
      <c r="F201" s="106"/>
      <c r="G201" s="106"/>
      <c r="H201" s="101"/>
      <c r="I201" s="50">
        <v>1</v>
      </c>
    </row>
    <row r="202" spans="1:9" ht="12.75">
      <c r="A202" s="87"/>
      <c r="B202" s="87"/>
      <c r="C202" s="49" t="s">
        <v>1030</v>
      </c>
      <c r="D202" s="36" t="s">
        <v>1043</v>
      </c>
      <c r="E202" s="100" t="s">
        <v>1339</v>
      </c>
      <c r="F202" s="106"/>
      <c r="G202" s="106"/>
      <c r="H202" s="101"/>
      <c r="I202" s="50">
        <v>1</v>
      </c>
    </row>
    <row r="203" spans="1:9" ht="12.75">
      <c r="A203" s="87"/>
      <c r="B203" s="87"/>
      <c r="C203" s="50" t="s">
        <v>1036</v>
      </c>
      <c r="D203" s="36" t="s">
        <v>1043</v>
      </c>
      <c r="E203" s="100" t="s">
        <v>1317</v>
      </c>
      <c r="F203" s="106"/>
      <c r="G203" s="106"/>
      <c r="H203" s="101"/>
      <c r="I203" s="50">
        <v>2</v>
      </c>
    </row>
    <row r="204" spans="1:9" ht="51">
      <c r="A204" s="90"/>
      <c r="B204" s="90"/>
      <c r="C204" s="61" t="s">
        <v>1042</v>
      </c>
      <c r="D204" s="62" t="s">
        <v>1043</v>
      </c>
      <c r="E204" s="104" t="s">
        <v>1307</v>
      </c>
      <c r="F204" s="105"/>
      <c r="G204" s="62" t="s">
        <v>1308</v>
      </c>
      <c r="H204" s="62" t="s">
        <v>1309</v>
      </c>
      <c r="I204" s="61">
        <v>2</v>
      </c>
    </row>
    <row r="205" spans="1:9" ht="12.75">
      <c r="A205" s="32"/>
      <c r="B205" s="1"/>
      <c r="C205" s="64"/>
      <c r="D205" s="64"/>
      <c r="E205" s="64"/>
      <c r="F205" s="64"/>
      <c r="G205" s="64"/>
      <c r="H205" s="64"/>
      <c r="I205" s="32"/>
    </row>
    <row r="206" spans="1:9" ht="12.75">
      <c r="A206" s="32"/>
      <c r="B206" s="1"/>
      <c r="C206" s="64"/>
      <c r="D206" s="64"/>
      <c r="E206" s="64"/>
      <c r="F206" s="64"/>
      <c r="G206" s="64"/>
      <c r="H206" s="64"/>
      <c r="I206" s="32"/>
    </row>
    <row r="207" spans="1:9" ht="12.75">
      <c r="A207" s="32"/>
      <c r="B207" s="1"/>
      <c r="C207" s="64"/>
      <c r="D207" s="64"/>
      <c r="E207" s="64"/>
      <c r="F207" s="64"/>
      <c r="G207" s="64"/>
      <c r="H207" s="64"/>
      <c r="I207" s="32"/>
    </row>
    <row r="208" spans="1:9" ht="12.75">
      <c r="A208" s="32"/>
      <c r="B208" s="1"/>
      <c r="C208" s="64"/>
      <c r="D208" s="64"/>
      <c r="E208" s="64"/>
      <c r="F208" s="64"/>
      <c r="G208" s="64"/>
      <c r="H208" s="64"/>
      <c r="I208" s="32"/>
    </row>
    <row r="209" spans="1:9" ht="12.75">
      <c r="A209" s="32"/>
      <c r="B209" s="1"/>
      <c r="C209" s="64"/>
      <c r="D209" s="64"/>
      <c r="E209" s="64"/>
      <c r="F209" s="64"/>
      <c r="G209" s="64"/>
      <c r="H209" s="64"/>
      <c r="I209" s="32"/>
    </row>
    <row r="210" spans="1:9" ht="12.75">
      <c r="A210" s="32"/>
      <c r="B210" s="1"/>
      <c r="C210" s="64"/>
      <c r="D210" s="64"/>
      <c r="E210" s="64"/>
      <c r="F210" s="64"/>
      <c r="G210" s="64"/>
      <c r="H210" s="64"/>
      <c r="I210" s="32"/>
    </row>
    <row r="211" spans="1:9" ht="12.75">
      <c r="A211" s="32"/>
      <c r="B211" s="1"/>
      <c r="C211" s="64"/>
      <c r="D211" s="64"/>
      <c r="E211" s="64"/>
      <c r="F211" s="64"/>
      <c r="G211" s="64"/>
      <c r="H211" s="64"/>
      <c r="I211" s="32"/>
    </row>
    <row r="212" spans="1:9" ht="12.75">
      <c r="A212" s="32"/>
      <c r="B212" s="1"/>
      <c r="C212" s="64"/>
      <c r="D212" s="64"/>
      <c r="E212" s="64"/>
      <c r="F212" s="64"/>
      <c r="G212" s="64"/>
      <c r="H212" s="64"/>
      <c r="I212" s="32"/>
    </row>
    <row r="213" spans="1:9" ht="12.75">
      <c r="A213" s="32"/>
      <c r="B213" s="1"/>
      <c r="C213" s="64"/>
      <c r="D213" s="64"/>
      <c r="E213" s="64"/>
      <c r="F213" s="64"/>
      <c r="G213" s="64"/>
      <c r="H213" s="64"/>
      <c r="I213" s="32"/>
    </row>
    <row r="214" spans="1:9" ht="12.75">
      <c r="A214" s="32"/>
      <c r="B214" s="1"/>
      <c r="C214" s="64"/>
      <c r="D214" s="64"/>
      <c r="E214" s="64"/>
      <c r="F214" s="64"/>
      <c r="G214" s="64"/>
      <c r="H214" s="64"/>
      <c r="I214" s="32"/>
    </row>
    <row r="215" spans="1:9" ht="12.75">
      <c r="A215" s="32"/>
      <c r="B215" s="1"/>
      <c r="C215" s="64"/>
      <c r="D215" s="64"/>
      <c r="E215" s="64"/>
      <c r="F215" s="64"/>
      <c r="G215" s="64"/>
      <c r="H215" s="64"/>
      <c r="I215" s="32"/>
    </row>
    <row r="216" spans="1:9" ht="12.75">
      <c r="A216" s="32"/>
      <c r="B216" s="1"/>
      <c r="C216" s="64"/>
      <c r="D216" s="64"/>
      <c r="E216" s="64"/>
      <c r="F216" s="64"/>
      <c r="G216" s="64"/>
      <c r="H216" s="64"/>
      <c r="I216" s="32"/>
    </row>
    <row r="217" spans="1:9" ht="12.75">
      <c r="A217" s="32"/>
      <c r="B217" s="1"/>
      <c r="C217" s="64"/>
      <c r="D217" s="64"/>
      <c r="E217" s="64"/>
      <c r="F217" s="64"/>
      <c r="G217" s="64"/>
      <c r="H217" s="64"/>
      <c r="I217" s="32"/>
    </row>
    <row r="218" spans="1:9" ht="12.75">
      <c r="A218" s="32"/>
      <c r="B218" s="1"/>
      <c r="C218" s="64"/>
      <c r="D218" s="64"/>
      <c r="E218" s="64"/>
      <c r="F218" s="64"/>
      <c r="G218" s="64"/>
      <c r="H218" s="64"/>
      <c r="I218" s="32"/>
    </row>
    <row r="219" spans="1:9" ht="12.75">
      <c r="A219" s="32"/>
      <c r="B219" s="1"/>
      <c r="C219" s="64"/>
      <c r="D219" s="64"/>
      <c r="E219" s="64"/>
      <c r="F219" s="64"/>
      <c r="G219" s="64"/>
      <c r="H219" s="64"/>
      <c r="I219" s="32"/>
    </row>
    <row r="220" spans="1:9" ht="12.75">
      <c r="A220" s="32"/>
      <c r="B220" s="1"/>
      <c r="C220" s="64"/>
      <c r="D220" s="64"/>
      <c r="E220" s="64"/>
      <c r="F220" s="64"/>
      <c r="G220" s="64"/>
      <c r="H220" s="64"/>
      <c r="I220" s="32"/>
    </row>
    <row r="221" spans="1:9" ht="12.75">
      <c r="A221" s="32"/>
      <c r="B221" s="1"/>
      <c r="C221" s="64"/>
      <c r="D221" s="64"/>
      <c r="E221" s="64"/>
      <c r="F221" s="64"/>
      <c r="G221" s="64"/>
      <c r="H221" s="64"/>
      <c r="I221" s="32"/>
    </row>
    <row r="222" spans="1:9" ht="12.75">
      <c r="A222" s="32"/>
      <c r="B222" s="1"/>
      <c r="C222" s="64"/>
      <c r="D222" s="64"/>
      <c r="E222" s="64"/>
      <c r="F222" s="64"/>
      <c r="G222" s="64"/>
      <c r="H222" s="64"/>
      <c r="I222" s="32"/>
    </row>
    <row r="223" spans="1:9" ht="12.75">
      <c r="A223" s="32"/>
      <c r="B223" s="1"/>
      <c r="C223" s="64"/>
      <c r="D223" s="64"/>
      <c r="E223" s="64"/>
      <c r="F223" s="64"/>
      <c r="G223" s="64"/>
      <c r="H223" s="64"/>
      <c r="I223" s="32"/>
    </row>
    <row r="224" spans="1:9" ht="12.75">
      <c r="A224" s="32"/>
      <c r="B224" s="1"/>
      <c r="C224" s="64"/>
      <c r="D224" s="64"/>
      <c r="E224" s="64"/>
      <c r="F224" s="64"/>
      <c r="G224" s="64"/>
      <c r="H224" s="64"/>
      <c r="I224" s="32"/>
    </row>
    <row r="225" spans="1:9" ht="12.75">
      <c r="A225" s="32"/>
      <c r="B225" s="1"/>
      <c r="C225" s="64"/>
      <c r="D225" s="64"/>
      <c r="E225" s="64"/>
      <c r="F225" s="64"/>
      <c r="G225" s="64"/>
      <c r="H225" s="64"/>
      <c r="I225" s="32"/>
    </row>
    <row r="226" spans="1:9" ht="12.75">
      <c r="A226" s="32"/>
      <c r="B226" s="1"/>
      <c r="C226" s="64"/>
      <c r="D226" s="64"/>
      <c r="E226" s="64"/>
      <c r="F226" s="64"/>
      <c r="G226" s="64"/>
      <c r="H226" s="64"/>
      <c r="I226" s="32"/>
    </row>
    <row r="227" spans="1:9" ht="12.75">
      <c r="A227" s="32"/>
      <c r="B227" s="1"/>
      <c r="C227" s="64"/>
      <c r="D227" s="64"/>
      <c r="E227" s="64"/>
      <c r="F227" s="64"/>
      <c r="G227" s="64"/>
      <c r="H227" s="64"/>
      <c r="I227" s="32"/>
    </row>
    <row r="228" spans="1:9" ht="12.75">
      <c r="A228" s="32"/>
      <c r="B228" s="1"/>
      <c r="C228" s="64"/>
      <c r="D228" s="64"/>
      <c r="E228" s="64"/>
      <c r="F228" s="64"/>
      <c r="G228" s="64"/>
      <c r="H228" s="64"/>
      <c r="I228" s="32"/>
    </row>
    <row r="229" spans="1:9" ht="12.75">
      <c r="A229" s="32"/>
      <c r="B229" s="1"/>
      <c r="C229" s="64"/>
      <c r="D229" s="64"/>
      <c r="E229" s="64"/>
      <c r="F229" s="64"/>
      <c r="G229" s="64"/>
      <c r="H229" s="64"/>
      <c r="I229" s="32"/>
    </row>
    <row r="230" spans="1:9" ht="12.75">
      <c r="A230" s="32"/>
      <c r="B230" s="1"/>
      <c r="C230" s="64"/>
      <c r="D230" s="64"/>
      <c r="E230" s="64"/>
      <c r="F230" s="64"/>
      <c r="G230" s="64"/>
      <c r="H230" s="64"/>
      <c r="I230" s="32"/>
    </row>
    <row r="231" spans="1:9" ht="12.75">
      <c r="A231" s="32"/>
      <c r="B231" s="1"/>
      <c r="C231" s="64"/>
      <c r="D231" s="64"/>
      <c r="E231" s="64"/>
      <c r="F231" s="64"/>
      <c r="G231" s="64"/>
      <c r="H231" s="64"/>
      <c r="I231" s="32"/>
    </row>
    <row r="232" spans="1:9" ht="12.75">
      <c r="A232" s="32"/>
      <c r="B232" s="1"/>
      <c r="C232" s="64"/>
      <c r="D232" s="64"/>
      <c r="E232" s="64"/>
      <c r="F232" s="64"/>
      <c r="G232" s="64"/>
      <c r="H232" s="64"/>
      <c r="I232" s="32"/>
    </row>
    <row r="233" spans="1:9" ht="12.75">
      <c r="A233" s="32"/>
      <c r="B233" s="1"/>
      <c r="C233" s="64"/>
      <c r="D233" s="64"/>
      <c r="E233" s="64"/>
      <c r="F233" s="64"/>
      <c r="G233" s="64"/>
      <c r="H233" s="64"/>
      <c r="I233" s="32"/>
    </row>
    <row r="234" spans="1:9" ht="12.75">
      <c r="A234" s="32"/>
      <c r="B234" s="1"/>
      <c r="C234" s="64"/>
      <c r="D234" s="64"/>
      <c r="E234" s="64"/>
      <c r="F234" s="64"/>
      <c r="G234" s="64"/>
      <c r="H234" s="64"/>
      <c r="I234" s="32"/>
    </row>
    <row r="235" spans="1:9" ht="12.75">
      <c r="A235" s="32"/>
      <c r="B235" s="1"/>
      <c r="C235" s="64"/>
      <c r="D235" s="64"/>
      <c r="E235" s="64"/>
      <c r="F235" s="64"/>
      <c r="G235" s="64"/>
      <c r="H235" s="64"/>
      <c r="I235" s="32"/>
    </row>
    <row r="236" spans="1:9" ht="12.75">
      <c r="A236" s="32"/>
      <c r="B236" s="1"/>
      <c r="C236" s="64"/>
      <c r="D236" s="64"/>
      <c r="E236" s="64"/>
      <c r="F236" s="64"/>
      <c r="G236" s="64"/>
      <c r="H236" s="64"/>
      <c r="I236" s="32"/>
    </row>
    <row r="237" spans="1:9" ht="12.75">
      <c r="A237" s="32"/>
      <c r="B237" s="1"/>
      <c r="C237" s="64"/>
      <c r="D237" s="64"/>
      <c r="E237" s="64"/>
      <c r="F237" s="64"/>
      <c r="G237" s="64"/>
      <c r="H237" s="64"/>
      <c r="I237" s="32"/>
    </row>
    <row r="238" spans="1:9" ht="12.75">
      <c r="A238" s="32"/>
      <c r="B238" s="1"/>
      <c r="C238" s="64"/>
      <c r="D238" s="64"/>
      <c r="E238" s="64"/>
      <c r="F238" s="64"/>
      <c r="G238" s="64"/>
      <c r="H238" s="64"/>
      <c r="I238" s="32"/>
    </row>
    <row r="239" spans="1:9" ht="12.75">
      <c r="A239" s="32"/>
      <c r="B239" s="1"/>
      <c r="C239" s="64"/>
      <c r="D239" s="64"/>
      <c r="E239" s="64"/>
      <c r="F239" s="64"/>
      <c r="G239" s="64"/>
      <c r="H239" s="64"/>
      <c r="I239" s="32"/>
    </row>
    <row r="240" spans="1:9" ht="12.75">
      <c r="A240" s="32"/>
      <c r="B240" s="1"/>
      <c r="C240" s="64"/>
      <c r="D240" s="64"/>
      <c r="E240" s="64"/>
      <c r="F240" s="64"/>
      <c r="G240" s="64"/>
      <c r="H240" s="64"/>
      <c r="I240" s="32"/>
    </row>
    <row r="241" spans="1:9" ht="12.75">
      <c r="A241" s="32"/>
      <c r="B241" s="1"/>
      <c r="C241" s="64"/>
      <c r="D241" s="64"/>
      <c r="E241" s="64"/>
      <c r="F241" s="64"/>
      <c r="G241" s="64"/>
      <c r="H241" s="64"/>
      <c r="I241" s="32"/>
    </row>
    <row r="242" spans="1:9" ht="12.75">
      <c r="A242" s="32"/>
      <c r="B242" s="1"/>
      <c r="C242" s="64"/>
      <c r="D242" s="64"/>
      <c r="E242" s="64"/>
      <c r="F242" s="64"/>
      <c r="G242" s="64"/>
      <c r="H242" s="64"/>
      <c r="I242" s="32"/>
    </row>
    <row r="243" spans="1:9" ht="12.75">
      <c r="A243" s="32"/>
      <c r="B243" s="1"/>
      <c r="C243" s="64"/>
      <c r="D243" s="64"/>
      <c r="E243" s="64"/>
      <c r="F243" s="64"/>
      <c r="G243" s="64"/>
      <c r="H243" s="64"/>
      <c r="I243" s="32"/>
    </row>
    <row r="244" spans="1:9" ht="12.75">
      <c r="A244" s="32"/>
      <c r="B244" s="1"/>
      <c r="C244" s="64"/>
      <c r="D244" s="64"/>
      <c r="E244" s="64"/>
      <c r="F244" s="64"/>
      <c r="G244" s="64"/>
      <c r="H244" s="64"/>
      <c r="I244" s="32"/>
    </row>
    <row r="245" spans="1:9" ht="12.75">
      <c r="A245" s="32"/>
      <c r="B245" s="1"/>
      <c r="C245" s="64"/>
      <c r="D245" s="64"/>
      <c r="E245" s="64"/>
      <c r="F245" s="64"/>
      <c r="G245" s="64"/>
      <c r="H245" s="64"/>
      <c r="I245" s="32"/>
    </row>
    <row r="246" spans="1:9" ht="12.75">
      <c r="A246" s="32"/>
      <c r="B246" s="1"/>
      <c r="C246" s="64"/>
      <c r="D246" s="64"/>
      <c r="E246" s="64"/>
      <c r="F246" s="64"/>
      <c r="G246" s="64"/>
      <c r="H246" s="64"/>
      <c r="I246" s="32"/>
    </row>
    <row r="247" spans="1:9" ht="12.75">
      <c r="A247" s="32"/>
      <c r="B247" s="1"/>
      <c r="C247" s="64"/>
      <c r="D247" s="64"/>
      <c r="E247" s="64"/>
      <c r="F247" s="64"/>
      <c r="G247" s="64"/>
      <c r="H247" s="64"/>
      <c r="I247" s="32"/>
    </row>
    <row r="248" spans="1:9" ht="12.75">
      <c r="A248" s="32"/>
      <c r="B248" s="1"/>
      <c r="C248" s="64"/>
      <c r="D248" s="64"/>
      <c r="E248" s="64"/>
      <c r="F248" s="64"/>
      <c r="G248" s="64"/>
      <c r="H248" s="64"/>
      <c r="I248" s="32"/>
    </row>
    <row r="249" spans="1:9" ht="12.75">
      <c r="A249" s="32"/>
      <c r="B249" s="1"/>
      <c r="C249" s="64"/>
      <c r="D249" s="64"/>
      <c r="E249" s="64"/>
      <c r="F249" s="64"/>
      <c r="G249" s="64"/>
      <c r="H249" s="64"/>
      <c r="I249" s="32"/>
    </row>
    <row r="250" spans="1:9" ht="12.75">
      <c r="A250" s="32"/>
      <c r="B250" s="1"/>
      <c r="C250" s="64"/>
      <c r="D250" s="64"/>
      <c r="E250" s="64"/>
      <c r="F250" s="64"/>
      <c r="G250" s="64"/>
      <c r="H250" s="64"/>
      <c r="I250" s="32"/>
    </row>
    <row r="251" spans="1:9" ht="12.75">
      <c r="A251" s="32"/>
      <c r="B251" s="1"/>
      <c r="C251" s="64"/>
      <c r="D251" s="64"/>
      <c r="E251" s="64"/>
      <c r="F251" s="64"/>
      <c r="G251" s="64"/>
      <c r="H251" s="64"/>
      <c r="I251" s="32"/>
    </row>
    <row r="252" spans="1:9" ht="12.75">
      <c r="A252" s="32"/>
      <c r="B252" s="1"/>
      <c r="C252" s="64"/>
      <c r="D252" s="64"/>
      <c r="E252" s="64"/>
      <c r="F252" s="64"/>
      <c r="G252" s="64"/>
      <c r="H252" s="64"/>
      <c r="I252" s="32"/>
    </row>
    <row r="253" spans="1:9" ht="12.75">
      <c r="A253" s="32"/>
      <c r="B253" s="1"/>
      <c r="C253" s="64"/>
      <c r="D253" s="64"/>
      <c r="E253" s="64"/>
      <c r="F253" s="64"/>
      <c r="G253" s="64"/>
      <c r="H253" s="64"/>
      <c r="I253" s="32"/>
    </row>
    <row r="254" spans="1:9" ht="12.75">
      <c r="A254" s="32"/>
      <c r="B254" s="1"/>
      <c r="C254" s="64"/>
      <c r="D254" s="64"/>
      <c r="E254" s="64"/>
      <c r="F254" s="64"/>
      <c r="G254" s="64"/>
      <c r="H254" s="64"/>
      <c r="I254" s="32"/>
    </row>
    <row r="255" spans="1:9" ht="12.75">
      <c r="A255" s="32"/>
      <c r="B255" s="1"/>
      <c r="C255" s="64"/>
      <c r="D255" s="64"/>
      <c r="E255" s="64"/>
      <c r="F255" s="64"/>
      <c r="G255" s="64"/>
      <c r="H255" s="64"/>
      <c r="I255" s="32"/>
    </row>
    <row r="256" spans="1:9" ht="12.75">
      <c r="A256" s="32"/>
      <c r="B256" s="1"/>
      <c r="C256" s="64"/>
      <c r="D256" s="64"/>
      <c r="E256" s="64"/>
      <c r="F256" s="64"/>
      <c r="G256" s="64"/>
      <c r="H256" s="64"/>
      <c r="I256" s="32"/>
    </row>
    <row r="257" spans="1:9" ht="12.75">
      <c r="A257" s="32"/>
      <c r="B257" s="1"/>
      <c r="C257" s="64"/>
      <c r="D257" s="64"/>
      <c r="E257" s="64"/>
      <c r="F257" s="64"/>
      <c r="G257" s="64"/>
      <c r="H257" s="64"/>
      <c r="I257" s="32"/>
    </row>
    <row r="258" spans="1:9" ht="12.75">
      <c r="A258" s="32"/>
      <c r="B258" s="1"/>
      <c r="C258" s="64"/>
      <c r="D258" s="64"/>
      <c r="E258" s="64"/>
      <c r="F258" s="64"/>
      <c r="G258" s="64"/>
      <c r="H258" s="64"/>
      <c r="I258" s="32"/>
    </row>
    <row r="259" spans="1:9" ht="12.75">
      <c r="A259" s="32"/>
      <c r="B259" s="1"/>
      <c r="C259" s="64"/>
      <c r="D259" s="64"/>
      <c r="E259" s="64"/>
      <c r="F259" s="64"/>
      <c r="G259" s="64"/>
      <c r="H259" s="64"/>
      <c r="I259" s="32"/>
    </row>
    <row r="260" spans="1:9" ht="12.75">
      <c r="A260" s="32"/>
      <c r="B260" s="1"/>
      <c r="C260" s="64"/>
      <c r="D260" s="64"/>
      <c r="E260" s="64"/>
      <c r="F260" s="64"/>
      <c r="G260" s="64"/>
      <c r="H260" s="64"/>
      <c r="I260" s="32"/>
    </row>
    <row r="261" spans="1:9" ht="12.75">
      <c r="A261" s="32"/>
      <c r="B261" s="1"/>
      <c r="C261" s="64"/>
      <c r="D261" s="64"/>
      <c r="E261" s="64"/>
      <c r="F261" s="64"/>
      <c r="G261" s="64"/>
      <c r="H261" s="64"/>
      <c r="I261" s="32"/>
    </row>
    <row r="262" spans="1:9" ht="12.75">
      <c r="A262" s="32"/>
      <c r="B262" s="1"/>
      <c r="C262" s="64"/>
      <c r="D262" s="64"/>
      <c r="E262" s="64"/>
      <c r="F262" s="64"/>
      <c r="G262" s="64"/>
      <c r="H262" s="64"/>
      <c r="I262" s="32"/>
    </row>
    <row r="263" spans="1:9" ht="12.75">
      <c r="A263" s="32"/>
      <c r="B263" s="1"/>
      <c r="C263" s="64"/>
      <c r="D263" s="64"/>
      <c r="E263" s="64"/>
      <c r="F263" s="64"/>
      <c r="G263" s="64"/>
      <c r="H263" s="64"/>
      <c r="I263" s="32"/>
    </row>
    <row r="264" spans="1:9" ht="12.75">
      <c r="A264" s="32"/>
      <c r="B264" s="1"/>
      <c r="C264" s="64"/>
      <c r="D264" s="64"/>
      <c r="E264" s="64"/>
      <c r="F264" s="64"/>
      <c r="G264" s="64"/>
      <c r="H264" s="64"/>
      <c r="I264" s="32"/>
    </row>
    <row r="265" spans="1:9" ht="12.75">
      <c r="A265" s="32"/>
      <c r="B265" s="1"/>
      <c r="C265" s="64"/>
      <c r="D265" s="64"/>
      <c r="E265" s="64"/>
      <c r="F265" s="64"/>
      <c r="G265" s="64"/>
      <c r="H265" s="64"/>
      <c r="I265" s="32"/>
    </row>
    <row r="266" spans="1:9" ht="12.75">
      <c r="A266" s="32"/>
      <c r="B266" s="1"/>
      <c r="C266" s="64"/>
      <c r="D266" s="64"/>
      <c r="E266" s="64"/>
      <c r="F266" s="64"/>
      <c r="G266" s="64"/>
      <c r="H266" s="64"/>
      <c r="I266" s="32"/>
    </row>
    <row r="267" spans="1:9" ht="12.75">
      <c r="A267" s="32"/>
      <c r="B267" s="1"/>
      <c r="C267" s="64"/>
      <c r="D267" s="64"/>
      <c r="E267" s="64"/>
      <c r="F267" s="64"/>
      <c r="G267" s="64"/>
      <c r="H267" s="64"/>
      <c r="I267" s="32"/>
    </row>
    <row r="268" spans="1:9" ht="12.75">
      <c r="A268" s="32"/>
      <c r="B268" s="1"/>
      <c r="C268" s="64"/>
      <c r="D268" s="64"/>
      <c r="E268" s="64"/>
      <c r="F268" s="64"/>
      <c r="G268" s="64"/>
      <c r="H268" s="64"/>
      <c r="I268" s="32"/>
    </row>
    <row r="269" spans="1:9" ht="12.75">
      <c r="A269" s="32"/>
      <c r="B269" s="1"/>
      <c r="C269" s="64"/>
      <c r="D269" s="64"/>
      <c r="E269" s="64"/>
      <c r="F269" s="64"/>
      <c r="G269" s="64"/>
      <c r="H269" s="64"/>
      <c r="I269" s="32"/>
    </row>
    <row r="270" spans="1:9" ht="12.75">
      <c r="A270" s="32"/>
      <c r="B270" s="1"/>
      <c r="C270" s="64"/>
      <c r="D270" s="64"/>
      <c r="E270" s="64"/>
      <c r="F270" s="64"/>
      <c r="G270" s="64"/>
      <c r="H270" s="64"/>
      <c r="I270" s="32"/>
    </row>
    <row r="271" spans="1:9" ht="12.75">
      <c r="A271" s="32"/>
      <c r="B271" s="1"/>
      <c r="C271" s="64"/>
      <c r="D271" s="64"/>
      <c r="E271" s="64"/>
      <c r="F271" s="64"/>
      <c r="G271" s="64"/>
      <c r="H271" s="64"/>
      <c r="I271" s="32"/>
    </row>
    <row r="272" spans="1:9" ht="12.75">
      <c r="A272" s="32"/>
      <c r="B272" s="1"/>
      <c r="C272" s="64"/>
      <c r="D272" s="64"/>
      <c r="E272" s="64"/>
      <c r="F272" s="64"/>
      <c r="G272" s="64"/>
      <c r="H272" s="64"/>
      <c r="I272" s="32"/>
    </row>
    <row r="273" spans="1:9" ht="12.75">
      <c r="A273" s="32"/>
      <c r="B273" s="1"/>
      <c r="C273" s="64"/>
      <c r="D273" s="64"/>
      <c r="E273" s="64"/>
      <c r="F273" s="64"/>
      <c r="G273" s="64"/>
      <c r="H273" s="64"/>
      <c r="I273" s="32"/>
    </row>
    <row r="274" spans="1:9" ht="12.75">
      <c r="A274" s="32"/>
      <c r="B274" s="1"/>
      <c r="C274" s="64"/>
      <c r="D274" s="64"/>
      <c r="E274" s="64"/>
      <c r="F274" s="64"/>
      <c r="G274" s="64"/>
      <c r="H274" s="64"/>
      <c r="I274" s="32"/>
    </row>
    <row r="275" spans="1:9" ht="12.75">
      <c r="A275" s="32"/>
      <c r="B275" s="1"/>
      <c r="C275" s="64"/>
      <c r="D275" s="64"/>
      <c r="E275" s="64"/>
      <c r="F275" s="64"/>
      <c r="G275" s="64"/>
      <c r="H275" s="64"/>
      <c r="I275" s="32"/>
    </row>
    <row r="276" spans="1:9" ht="12.75">
      <c r="A276" s="32"/>
      <c r="B276" s="1"/>
      <c r="C276" s="64"/>
      <c r="D276" s="64"/>
      <c r="E276" s="64"/>
      <c r="F276" s="64"/>
      <c r="G276" s="64"/>
      <c r="H276" s="64"/>
      <c r="I276" s="32"/>
    </row>
    <row r="277" spans="1:9" ht="12.75">
      <c r="A277" s="32"/>
      <c r="B277" s="1"/>
      <c r="C277" s="64"/>
      <c r="D277" s="64"/>
      <c r="E277" s="64"/>
      <c r="F277" s="64"/>
      <c r="G277" s="64"/>
      <c r="H277" s="64"/>
      <c r="I277" s="32"/>
    </row>
    <row r="278" spans="1:9" ht="12.75">
      <c r="A278" s="32"/>
      <c r="B278" s="1"/>
      <c r="C278" s="64"/>
      <c r="D278" s="64"/>
      <c r="E278" s="64"/>
      <c r="F278" s="64"/>
      <c r="G278" s="64"/>
      <c r="H278" s="64"/>
      <c r="I278" s="32"/>
    </row>
    <row r="279" spans="1:9" ht="12.75">
      <c r="A279" s="32"/>
      <c r="B279" s="1"/>
      <c r="C279" s="64"/>
      <c r="D279" s="64"/>
      <c r="E279" s="64"/>
      <c r="F279" s="64"/>
      <c r="G279" s="64"/>
      <c r="H279" s="64"/>
      <c r="I279" s="32"/>
    </row>
    <row r="280" spans="1:9" ht="12.75">
      <c r="A280" s="32"/>
      <c r="B280" s="1"/>
      <c r="C280" s="64"/>
      <c r="D280" s="64"/>
      <c r="E280" s="64"/>
      <c r="F280" s="64"/>
      <c r="G280" s="64"/>
      <c r="H280" s="64"/>
      <c r="I280" s="32"/>
    </row>
    <row r="281" spans="1:9" ht="12.75">
      <c r="A281" s="32"/>
      <c r="B281" s="1"/>
      <c r="C281" s="64"/>
      <c r="D281" s="64"/>
      <c r="E281" s="64"/>
      <c r="F281" s="64"/>
      <c r="G281" s="64"/>
      <c r="H281" s="64"/>
      <c r="I281" s="32"/>
    </row>
    <row r="282" spans="1:9" ht="12.75">
      <c r="A282" s="32"/>
      <c r="B282" s="1"/>
      <c r="C282" s="64"/>
      <c r="D282" s="64"/>
      <c r="E282" s="64"/>
      <c r="F282" s="64"/>
      <c r="G282" s="64"/>
      <c r="H282" s="64"/>
      <c r="I282" s="32"/>
    </row>
    <row r="283" spans="1:9" ht="12.75">
      <c r="A283" s="32"/>
      <c r="B283" s="1"/>
      <c r="C283" s="64"/>
      <c r="D283" s="64"/>
      <c r="E283" s="64"/>
      <c r="F283" s="64"/>
      <c r="G283" s="64"/>
      <c r="H283" s="64"/>
      <c r="I283" s="32"/>
    </row>
    <row r="284" spans="1:9" ht="12.75">
      <c r="A284" s="32"/>
      <c r="B284" s="1"/>
      <c r="C284" s="64"/>
      <c r="D284" s="64"/>
      <c r="E284" s="64"/>
      <c r="F284" s="64"/>
      <c r="G284" s="64"/>
      <c r="H284" s="64"/>
      <c r="I284" s="32"/>
    </row>
    <row r="285" spans="1:9" ht="12.75">
      <c r="A285" s="32"/>
      <c r="B285" s="1"/>
      <c r="C285" s="64"/>
      <c r="D285" s="64"/>
      <c r="E285" s="64"/>
      <c r="F285" s="64"/>
      <c r="G285" s="64"/>
      <c r="H285" s="64"/>
      <c r="I285" s="32"/>
    </row>
    <row r="286" spans="1:9" ht="12.75">
      <c r="A286" s="32"/>
      <c r="B286" s="1"/>
      <c r="C286" s="64"/>
      <c r="D286" s="64"/>
      <c r="E286" s="64"/>
      <c r="F286" s="64"/>
      <c r="G286" s="64"/>
      <c r="H286" s="64"/>
      <c r="I286" s="32"/>
    </row>
    <row r="287" spans="1:9" ht="12.75">
      <c r="A287" s="32"/>
      <c r="B287" s="1"/>
      <c r="C287" s="64"/>
      <c r="D287" s="64"/>
      <c r="E287" s="64"/>
      <c r="F287" s="64"/>
      <c r="G287" s="64"/>
      <c r="H287" s="64"/>
      <c r="I287" s="32"/>
    </row>
    <row r="288" spans="1:9" ht="12.75">
      <c r="A288" s="32"/>
      <c r="B288" s="1"/>
      <c r="C288" s="64"/>
      <c r="D288" s="64"/>
      <c r="E288" s="64"/>
      <c r="F288" s="64"/>
      <c r="G288" s="64"/>
      <c r="H288" s="64"/>
      <c r="I288" s="32"/>
    </row>
    <row r="289" spans="1:9" ht="12.75">
      <c r="A289" s="32"/>
      <c r="B289" s="1"/>
      <c r="C289" s="64"/>
      <c r="D289" s="64"/>
      <c r="E289" s="64"/>
      <c r="F289" s="64"/>
      <c r="G289" s="64"/>
      <c r="H289" s="64"/>
      <c r="I289" s="32"/>
    </row>
    <row r="290" spans="1:9" ht="12.75">
      <c r="A290" s="32"/>
      <c r="B290" s="1"/>
      <c r="C290" s="64"/>
      <c r="D290" s="64"/>
      <c r="E290" s="64"/>
      <c r="F290" s="64"/>
      <c r="G290" s="64"/>
      <c r="H290" s="64"/>
      <c r="I290" s="32"/>
    </row>
    <row r="291" spans="1:9" ht="12.75">
      <c r="A291" s="32"/>
      <c r="B291" s="1"/>
      <c r="C291" s="64"/>
      <c r="D291" s="64"/>
      <c r="E291" s="64"/>
      <c r="F291" s="64"/>
      <c r="G291" s="64"/>
      <c r="H291" s="64"/>
      <c r="I291" s="32"/>
    </row>
    <row r="292" spans="1:9" ht="12.75">
      <c r="A292" s="32"/>
      <c r="B292" s="1"/>
      <c r="C292" s="64"/>
      <c r="D292" s="64"/>
      <c r="E292" s="64"/>
      <c r="F292" s="64"/>
      <c r="G292" s="64"/>
      <c r="H292" s="64"/>
      <c r="I292" s="32"/>
    </row>
    <row r="293" spans="1:9" ht="12.75">
      <c r="A293" s="32"/>
      <c r="B293" s="1"/>
      <c r="C293" s="64"/>
      <c r="D293" s="64"/>
      <c r="E293" s="64"/>
      <c r="F293" s="64"/>
      <c r="G293" s="64"/>
      <c r="H293" s="64"/>
      <c r="I293" s="32"/>
    </row>
    <row r="294" spans="1:9" ht="12.75">
      <c r="A294" s="32"/>
      <c r="B294" s="1"/>
      <c r="C294" s="64"/>
      <c r="D294" s="64"/>
      <c r="E294" s="64"/>
      <c r="F294" s="64"/>
      <c r="G294" s="64"/>
      <c r="H294" s="64"/>
      <c r="I294" s="32"/>
    </row>
    <row r="295" spans="1:9" ht="12.75">
      <c r="A295" s="32"/>
      <c r="B295" s="1"/>
      <c r="C295" s="64"/>
      <c r="D295" s="64"/>
      <c r="E295" s="64"/>
      <c r="F295" s="64"/>
      <c r="G295" s="64"/>
      <c r="H295" s="64"/>
      <c r="I295" s="32"/>
    </row>
    <row r="296" spans="1:9" ht="12.75">
      <c r="A296" s="32"/>
      <c r="B296" s="1"/>
      <c r="C296" s="64"/>
      <c r="D296" s="64"/>
      <c r="E296" s="64"/>
      <c r="F296" s="64"/>
      <c r="G296" s="64"/>
      <c r="H296" s="64"/>
      <c r="I296" s="32"/>
    </row>
    <row r="297" spans="1:9" ht="12.75">
      <c r="A297" s="32"/>
      <c r="B297" s="1"/>
      <c r="C297" s="64"/>
      <c r="D297" s="64"/>
      <c r="E297" s="64"/>
      <c r="F297" s="64"/>
      <c r="G297" s="64"/>
      <c r="H297" s="64"/>
      <c r="I297" s="32"/>
    </row>
    <row r="298" spans="1:9" ht="12.75">
      <c r="A298" s="32"/>
      <c r="B298" s="1"/>
      <c r="C298" s="64"/>
      <c r="D298" s="64"/>
      <c r="E298" s="64"/>
      <c r="F298" s="64"/>
      <c r="G298" s="64"/>
      <c r="H298" s="64"/>
      <c r="I298" s="32"/>
    </row>
    <row r="299" spans="1:9" ht="12.75">
      <c r="A299" s="32"/>
      <c r="B299" s="1"/>
      <c r="C299" s="64"/>
      <c r="D299" s="64"/>
      <c r="E299" s="64"/>
      <c r="F299" s="64"/>
      <c r="G299" s="64"/>
      <c r="H299" s="64"/>
      <c r="I299" s="32"/>
    </row>
    <row r="300" spans="1:9" ht="12.75">
      <c r="A300" s="32"/>
      <c r="B300" s="1"/>
      <c r="C300" s="64"/>
      <c r="D300" s="64"/>
      <c r="E300" s="64"/>
      <c r="F300" s="64"/>
      <c r="G300" s="64"/>
      <c r="H300" s="64"/>
      <c r="I300" s="32"/>
    </row>
    <row r="301" spans="1:9" ht="12.75">
      <c r="A301" s="32"/>
      <c r="B301" s="1"/>
      <c r="C301" s="64"/>
      <c r="D301" s="64"/>
      <c r="E301" s="64"/>
      <c r="F301" s="64"/>
      <c r="G301" s="64"/>
      <c r="H301" s="64"/>
      <c r="I301" s="32"/>
    </row>
    <row r="302" spans="1:9" ht="12.75">
      <c r="A302" s="32"/>
      <c r="B302" s="1"/>
      <c r="C302" s="64"/>
      <c r="D302" s="64"/>
      <c r="E302" s="64"/>
      <c r="F302" s="64"/>
      <c r="G302" s="64"/>
      <c r="H302" s="64"/>
      <c r="I302" s="32"/>
    </row>
    <row r="303" spans="1:9" ht="12.75">
      <c r="A303" s="32"/>
      <c r="B303" s="1"/>
      <c r="C303" s="64"/>
      <c r="D303" s="64"/>
      <c r="E303" s="64"/>
      <c r="F303" s="64"/>
      <c r="G303" s="64"/>
      <c r="H303" s="64"/>
      <c r="I303" s="32"/>
    </row>
    <row r="304" spans="1:9" ht="12.75">
      <c r="A304" s="32"/>
      <c r="B304" s="1"/>
      <c r="C304" s="64"/>
      <c r="D304" s="64"/>
      <c r="E304" s="64"/>
      <c r="F304" s="64"/>
      <c r="G304" s="64"/>
      <c r="H304" s="64"/>
      <c r="I304" s="32"/>
    </row>
    <row r="305" spans="1:9" ht="12.75">
      <c r="A305" s="32"/>
      <c r="B305" s="1"/>
      <c r="C305" s="64"/>
      <c r="D305" s="64"/>
      <c r="E305" s="64"/>
      <c r="F305" s="64"/>
      <c r="G305" s="64"/>
      <c r="H305" s="64"/>
      <c r="I305" s="32"/>
    </row>
    <row r="306" spans="1:9" ht="12.75">
      <c r="A306" s="32"/>
      <c r="B306" s="1"/>
      <c r="C306" s="64"/>
      <c r="D306" s="64"/>
      <c r="E306" s="64"/>
      <c r="F306" s="64"/>
      <c r="G306" s="64"/>
      <c r="H306" s="64"/>
      <c r="I306" s="32"/>
    </row>
    <row r="307" spans="1:9" ht="12.75">
      <c r="A307" s="32"/>
      <c r="B307" s="1"/>
      <c r="C307" s="64"/>
      <c r="D307" s="64"/>
      <c r="E307" s="64"/>
      <c r="F307" s="64"/>
      <c r="G307" s="64"/>
      <c r="H307" s="64"/>
      <c r="I307" s="32"/>
    </row>
    <row r="308" spans="1:9" ht="12.75">
      <c r="A308" s="32"/>
      <c r="B308" s="1"/>
      <c r="C308" s="64"/>
      <c r="D308" s="64"/>
      <c r="E308" s="64"/>
      <c r="F308" s="64"/>
      <c r="G308" s="64"/>
      <c r="H308" s="64"/>
      <c r="I308" s="32"/>
    </row>
    <row r="309" spans="1:9" ht="12.75">
      <c r="A309" s="32"/>
      <c r="B309" s="1"/>
      <c r="C309" s="64"/>
      <c r="D309" s="64"/>
      <c r="E309" s="64"/>
      <c r="F309" s="64"/>
      <c r="G309" s="64"/>
      <c r="H309" s="64"/>
      <c r="I309" s="32"/>
    </row>
    <row r="310" spans="1:9" ht="12.75">
      <c r="A310" s="32"/>
      <c r="B310" s="1"/>
      <c r="C310" s="64"/>
      <c r="D310" s="64"/>
      <c r="E310" s="64"/>
      <c r="F310" s="64"/>
      <c r="G310" s="64"/>
      <c r="H310" s="64"/>
      <c r="I310" s="32"/>
    </row>
    <row r="311" spans="1:9" ht="12.75">
      <c r="A311" s="32"/>
      <c r="B311" s="1"/>
      <c r="C311" s="64"/>
      <c r="D311" s="64"/>
      <c r="E311" s="64"/>
      <c r="F311" s="64"/>
      <c r="G311" s="64"/>
      <c r="H311" s="64"/>
      <c r="I311" s="32"/>
    </row>
    <row r="312" spans="1:9" ht="12.75">
      <c r="A312" s="32"/>
      <c r="B312" s="1"/>
      <c r="C312" s="64"/>
      <c r="D312" s="64"/>
      <c r="E312" s="64"/>
      <c r="F312" s="64"/>
      <c r="G312" s="64"/>
      <c r="H312" s="64"/>
      <c r="I312" s="32"/>
    </row>
    <row r="313" spans="1:9" ht="12.75">
      <c r="A313" s="32"/>
      <c r="B313" s="1"/>
      <c r="C313" s="64"/>
      <c r="D313" s="64"/>
      <c r="E313" s="64"/>
      <c r="F313" s="64"/>
      <c r="G313" s="64"/>
      <c r="H313" s="64"/>
      <c r="I313" s="32"/>
    </row>
    <row r="314" spans="1:9" ht="12.75">
      <c r="A314" s="32"/>
      <c r="B314" s="1"/>
      <c r="C314" s="64"/>
      <c r="D314" s="64"/>
      <c r="E314" s="64"/>
      <c r="F314" s="64"/>
      <c r="G314" s="64"/>
      <c r="H314" s="64"/>
      <c r="I314" s="32"/>
    </row>
    <row r="315" spans="1:9" ht="12.75">
      <c r="A315" s="32"/>
      <c r="B315" s="1"/>
      <c r="C315" s="64"/>
      <c r="D315" s="64"/>
      <c r="E315" s="64"/>
      <c r="F315" s="64"/>
      <c r="G315" s="64"/>
      <c r="H315" s="64"/>
      <c r="I315" s="32"/>
    </row>
    <row r="316" spans="1:9" ht="12.75">
      <c r="A316" s="32"/>
      <c r="B316" s="1"/>
      <c r="C316" s="64"/>
      <c r="D316" s="64"/>
      <c r="E316" s="64"/>
      <c r="F316" s="64"/>
      <c r="G316" s="64"/>
      <c r="H316" s="64"/>
      <c r="I316" s="32"/>
    </row>
    <row r="317" spans="1:9" ht="12.75">
      <c r="A317" s="32"/>
      <c r="B317" s="1"/>
      <c r="C317" s="64"/>
      <c r="D317" s="64"/>
      <c r="E317" s="64"/>
      <c r="F317" s="64"/>
      <c r="G317" s="64"/>
      <c r="H317" s="64"/>
      <c r="I317" s="32"/>
    </row>
    <row r="318" spans="1:9" ht="12.75">
      <c r="A318" s="32"/>
      <c r="B318" s="1"/>
      <c r="C318" s="64"/>
      <c r="D318" s="64"/>
      <c r="E318" s="64"/>
      <c r="F318" s="64"/>
      <c r="G318" s="64"/>
      <c r="H318" s="64"/>
      <c r="I318" s="32"/>
    </row>
    <row r="319" spans="1:9" ht="12.75">
      <c r="A319" s="32"/>
      <c r="B319" s="1"/>
      <c r="C319" s="64"/>
      <c r="D319" s="64"/>
      <c r="E319" s="64"/>
      <c r="F319" s="64"/>
      <c r="G319" s="64"/>
      <c r="H319" s="64"/>
      <c r="I319" s="32"/>
    </row>
    <row r="320" spans="1:9" ht="12.75">
      <c r="A320" s="32"/>
      <c r="B320" s="1"/>
      <c r="C320" s="64"/>
      <c r="D320" s="64"/>
      <c r="E320" s="64"/>
      <c r="F320" s="64"/>
      <c r="G320" s="64"/>
      <c r="H320" s="64"/>
      <c r="I320" s="32"/>
    </row>
    <row r="321" spans="1:9" ht="12.75">
      <c r="A321" s="32"/>
      <c r="B321" s="1"/>
      <c r="C321" s="64"/>
      <c r="D321" s="64"/>
      <c r="E321" s="64"/>
      <c r="F321" s="64"/>
      <c r="G321" s="64"/>
      <c r="H321" s="64"/>
      <c r="I321" s="32"/>
    </row>
    <row r="322" spans="1:9" ht="12.75">
      <c r="A322" s="32"/>
      <c r="B322" s="1"/>
      <c r="C322" s="64"/>
      <c r="D322" s="64"/>
      <c r="E322" s="64"/>
      <c r="F322" s="64"/>
      <c r="G322" s="64"/>
      <c r="H322" s="64"/>
      <c r="I322" s="32"/>
    </row>
    <row r="323" spans="1:9" ht="12.75">
      <c r="A323" s="32"/>
      <c r="B323" s="1"/>
      <c r="C323" s="64"/>
      <c r="D323" s="64"/>
      <c r="E323" s="64"/>
      <c r="F323" s="64"/>
      <c r="G323" s="64"/>
      <c r="H323" s="64"/>
      <c r="I323" s="32"/>
    </row>
    <row r="324" spans="1:9" ht="12.75">
      <c r="A324" s="32"/>
      <c r="B324" s="1"/>
      <c r="C324" s="64"/>
      <c r="D324" s="64"/>
      <c r="E324" s="64"/>
      <c r="F324" s="64"/>
      <c r="G324" s="64"/>
      <c r="H324" s="64"/>
      <c r="I324" s="32"/>
    </row>
    <row r="325" spans="1:9" ht="12.75">
      <c r="A325" s="32"/>
      <c r="B325" s="1"/>
      <c r="C325" s="64"/>
      <c r="D325" s="64"/>
      <c r="E325" s="64"/>
      <c r="F325" s="64"/>
      <c r="G325" s="64"/>
      <c r="H325" s="64"/>
      <c r="I325" s="32"/>
    </row>
    <row r="326" spans="1:9" ht="12.75">
      <c r="A326" s="32"/>
      <c r="B326" s="1"/>
      <c r="C326" s="64"/>
      <c r="D326" s="64"/>
      <c r="E326" s="64"/>
      <c r="F326" s="64"/>
      <c r="G326" s="64"/>
      <c r="H326" s="64"/>
      <c r="I326" s="32"/>
    </row>
    <row r="327" spans="1:9" ht="12.75">
      <c r="A327" s="32"/>
      <c r="B327" s="1"/>
      <c r="C327" s="64"/>
      <c r="D327" s="64"/>
      <c r="E327" s="64"/>
      <c r="F327" s="64"/>
      <c r="G327" s="64"/>
      <c r="H327" s="64"/>
      <c r="I327" s="32"/>
    </row>
    <row r="328" spans="1:9" ht="12.75">
      <c r="A328" s="32"/>
      <c r="B328" s="1"/>
      <c r="C328" s="64"/>
      <c r="D328" s="64"/>
      <c r="E328" s="64"/>
      <c r="F328" s="64"/>
      <c r="G328" s="64"/>
      <c r="H328" s="64"/>
      <c r="I328" s="32"/>
    </row>
    <row r="329" spans="1:9" ht="12.75">
      <c r="A329" s="32"/>
      <c r="B329" s="1"/>
      <c r="C329" s="64"/>
      <c r="D329" s="64"/>
      <c r="E329" s="64"/>
      <c r="F329" s="64"/>
      <c r="G329" s="64"/>
      <c r="H329" s="64"/>
      <c r="I329" s="32"/>
    </row>
    <row r="330" spans="1:9" ht="12.75">
      <c r="A330" s="32"/>
      <c r="B330" s="1"/>
      <c r="C330" s="64"/>
      <c r="D330" s="64"/>
      <c r="E330" s="64"/>
      <c r="F330" s="64"/>
      <c r="G330" s="64"/>
      <c r="H330" s="64"/>
      <c r="I330" s="32"/>
    </row>
    <row r="331" spans="1:9" ht="12.75">
      <c r="A331" s="32"/>
      <c r="B331" s="1"/>
      <c r="C331" s="64"/>
      <c r="D331" s="64"/>
      <c r="E331" s="64"/>
      <c r="F331" s="64"/>
      <c r="G331" s="64"/>
      <c r="H331" s="64"/>
      <c r="I331" s="32"/>
    </row>
    <row r="332" spans="1:9" ht="12.75">
      <c r="A332" s="32"/>
      <c r="B332" s="1"/>
      <c r="C332" s="64"/>
      <c r="D332" s="64"/>
      <c r="E332" s="64"/>
      <c r="F332" s="64"/>
      <c r="G332" s="64"/>
      <c r="H332" s="64"/>
      <c r="I332" s="32"/>
    </row>
    <row r="333" spans="1:9" ht="12.75">
      <c r="A333" s="32"/>
      <c r="B333" s="1"/>
      <c r="C333" s="64"/>
      <c r="D333" s="64"/>
      <c r="E333" s="64"/>
      <c r="F333" s="64"/>
      <c r="G333" s="64"/>
      <c r="H333" s="64"/>
      <c r="I333" s="32"/>
    </row>
    <row r="334" spans="1:9" ht="12.75">
      <c r="A334" s="32"/>
      <c r="B334" s="1"/>
      <c r="C334" s="64"/>
      <c r="D334" s="64"/>
      <c r="E334" s="64"/>
      <c r="F334" s="64"/>
      <c r="G334" s="64"/>
      <c r="H334" s="64"/>
      <c r="I334" s="32"/>
    </row>
    <row r="335" spans="1:9" ht="12.75">
      <c r="A335" s="32"/>
      <c r="B335" s="1"/>
      <c r="C335" s="64"/>
      <c r="D335" s="64"/>
      <c r="E335" s="64"/>
      <c r="F335" s="64"/>
      <c r="G335" s="64"/>
      <c r="H335" s="64"/>
      <c r="I335" s="32"/>
    </row>
    <row r="336" spans="1:9" ht="12.75">
      <c r="A336" s="32"/>
      <c r="B336" s="1"/>
      <c r="C336" s="64"/>
      <c r="D336" s="64"/>
      <c r="E336" s="64"/>
      <c r="F336" s="64"/>
      <c r="G336" s="64"/>
      <c r="H336" s="64"/>
      <c r="I336" s="32"/>
    </row>
    <row r="337" spans="1:9" ht="12.75">
      <c r="A337" s="32"/>
      <c r="B337" s="1"/>
      <c r="C337" s="64"/>
      <c r="D337" s="64"/>
      <c r="E337" s="64"/>
      <c r="F337" s="64"/>
      <c r="G337" s="64"/>
      <c r="H337" s="64"/>
      <c r="I337" s="32"/>
    </row>
    <row r="338" spans="1:9" ht="12.75">
      <c r="A338" s="32"/>
      <c r="B338" s="1"/>
      <c r="C338" s="64"/>
      <c r="D338" s="64"/>
      <c r="E338" s="64"/>
      <c r="F338" s="64"/>
      <c r="G338" s="64"/>
      <c r="H338" s="64"/>
      <c r="I338" s="32"/>
    </row>
    <row r="339" spans="1:9" ht="12.75">
      <c r="A339" s="32"/>
      <c r="B339" s="1"/>
      <c r="C339" s="64"/>
      <c r="D339" s="64"/>
      <c r="E339" s="64"/>
      <c r="F339" s="64"/>
      <c r="G339" s="64"/>
      <c r="H339" s="64"/>
      <c r="I339" s="32"/>
    </row>
    <row r="340" spans="1:9" ht="12.75">
      <c r="A340" s="32"/>
      <c r="B340" s="1"/>
      <c r="C340" s="64"/>
      <c r="D340" s="64"/>
      <c r="E340" s="64"/>
      <c r="F340" s="64"/>
      <c r="G340" s="64"/>
      <c r="H340" s="64"/>
      <c r="I340" s="32"/>
    </row>
    <row r="341" spans="1:9" ht="12.75">
      <c r="A341" s="32"/>
      <c r="B341" s="1"/>
      <c r="C341" s="64"/>
      <c r="D341" s="64"/>
      <c r="E341" s="64"/>
      <c r="F341" s="64"/>
      <c r="G341" s="64"/>
      <c r="H341" s="64"/>
      <c r="I341" s="32"/>
    </row>
    <row r="342" spans="1:9" ht="12.75">
      <c r="A342" s="32"/>
      <c r="B342" s="1"/>
      <c r="C342" s="64"/>
      <c r="D342" s="64"/>
      <c r="E342" s="64"/>
      <c r="F342" s="64"/>
      <c r="G342" s="64"/>
      <c r="H342" s="64"/>
      <c r="I342" s="32"/>
    </row>
    <row r="343" spans="1:9" ht="12.75">
      <c r="A343" s="32"/>
      <c r="B343" s="1"/>
      <c r="C343" s="64"/>
      <c r="D343" s="64"/>
      <c r="E343" s="64"/>
      <c r="F343" s="64"/>
      <c r="G343" s="64"/>
      <c r="H343" s="64"/>
      <c r="I343" s="32"/>
    </row>
    <row r="344" spans="1:9" ht="12.75">
      <c r="A344" s="32"/>
      <c r="B344" s="1"/>
      <c r="C344" s="64"/>
      <c r="D344" s="64"/>
      <c r="E344" s="64"/>
      <c r="F344" s="64"/>
      <c r="G344" s="64"/>
      <c r="H344" s="64"/>
      <c r="I344" s="32"/>
    </row>
    <row r="345" spans="1:9" ht="12.75">
      <c r="A345" s="32"/>
      <c r="B345" s="1"/>
      <c r="C345" s="64"/>
      <c r="D345" s="64"/>
      <c r="E345" s="64"/>
      <c r="F345" s="64"/>
      <c r="G345" s="64"/>
      <c r="H345" s="64"/>
      <c r="I345" s="32"/>
    </row>
    <row r="346" spans="1:9" ht="12.75">
      <c r="A346" s="32"/>
      <c r="B346" s="1"/>
      <c r="C346" s="64"/>
      <c r="D346" s="64"/>
      <c r="E346" s="64"/>
      <c r="F346" s="64"/>
      <c r="G346" s="64"/>
      <c r="H346" s="64"/>
      <c r="I346" s="32"/>
    </row>
    <row r="347" spans="1:9" ht="12.75">
      <c r="A347" s="32"/>
      <c r="B347" s="1"/>
      <c r="C347" s="64"/>
      <c r="D347" s="64"/>
      <c r="E347" s="64"/>
      <c r="F347" s="64"/>
      <c r="G347" s="64"/>
      <c r="H347" s="64"/>
      <c r="I347" s="32"/>
    </row>
    <row r="348" spans="1:9" ht="12.75">
      <c r="A348" s="32"/>
      <c r="B348" s="1"/>
      <c r="C348" s="64"/>
      <c r="D348" s="64"/>
      <c r="E348" s="64"/>
      <c r="F348" s="64"/>
      <c r="G348" s="64"/>
      <c r="H348" s="64"/>
      <c r="I348" s="32"/>
    </row>
    <row r="349" spans="1:9" ht="12.75">
      <c r="A349" s="32"/>
      <c r="B349" s="1"/>
      <c r="C349" s="64"/>
      <c r="D349" s="64"/>
      <c r="E349" s="64"/>
      <c r="F349" s="64"/>
      <c r="G349" s="64"/>
      <c r="H349" s="64"/>
      <c r="I349" s="32"/>
    </row>
    <row r="350" spans="1:9" ht="12.75">
      <c r="A350" s="32"/>
      <c r="B350" s="1"/>
      <c r="C350" s="64"/>
      <c r="D350" s="64"/>
      <c r="E350" s="64"/>
      <c r="F350" s="64"/>
      <c r="G350" s="64"/>
      <c r="H350" s="64"/>
      <c r="I350" s="32"/>
    </row>
    <row r="351" spans="1:9" ht="12.75">
      <c r="A351" s="32"/>
      <c r="B351" s="1"/>
      <c r="C351" s="64"/>
      <c r="D351" s="64"/>
      <c r="E351" s="64"/>
      <c r="F351" s="64"/>
      <c r="G351" s="64"/>
      <c r="H351" s="64"/>
      <c r="I351" s="32"/>
    </row>
    <row r="352" spans="1:9" ht="12.75">
      <c r="A352" s="32"/>
      <c r="B352" s="1"/>
      <c r="C352" s="64"/>
      <c r="D352" s="64"/>
      <c r="E352" s="64"/>
      <c r="F352" s="64"/>
      <c r="G352" s="64"/>
      <c r="H352" s="64"/>
      <c r="I352" s="32"/>
    </row>
    <row r="353" spans="1:9" ht="12.75">
      <c r="A353" s="32"/>
      <c r="B353" s="1"/>
      <c r="C353" s="64"/>
      <c r="D353" s="64"/>
      <c r="E353" s="64"/>
      <c r="F353" s="64"/>
      <c r="G353" s="64"/>
      <c r="H353" s="64"/>
      <c r="I353" s="32"/>
    </row>
    <row r="354" spans="1:9" ht="12.75">
      <c r="A354" s="32"/>
      <c r="B354" s="1"/>
      <c r="C354" s="64"/>
      <c r="D354" s="64"/>
      <c r="E354" s="64"/>
      <c r="F354" s="64"/>
      <c r="G354" s="64"/>
      <c r="H354" s="64"/>
      <c r="I354" s="32"/>
    </row>
    <row r="355" spans="1:9" ht="12.75">
      <c r="A355" s="32"/>
      <c r="B355" s="1"/>
      <c r="C355" s="64"/>
      <c r="D355" s="64"/>
      <c r="E355" s="64"/>
      <c r="F355" s="64"/>
      <c r="G355" s="64"/>
      <c r="H355" s="64"/>
      <c r="I355" s="32"/>
    </row>
    <row r="356" spans="1:9" ht="12.75">
      <c r="A356" s="32"/>
      <c r="B356" s="1"/>
      <c r="C356" s="64"/>
      <c r="D356" s="64"/>
      <c r="E356" s="64"/>
      <c r="F356" s="64"/>
      <c r="G356" s="64"/>
      <c r="H356" s="64"/>
      <c r="I356" s="32"/>
    </row>
    <row r="357" spans="1:9" ht="12.75">
      <c r="A357" s="32"/>
      <c r="B357" s="1"/>
      <c r="C357" s="64"/>
      <c r="D357" s="64"/>
      <c r="E357" s="64"/>
      <c r="F357" s="64"/>
      <c r="G357" s="64"/>
      <c r="H357" s="64"/>
      <c r="I357" s="32"/>
    </row>
    <row r="358" spans="1:9" ht="12.75">
      <c r="A358" s="32"/>
      <c r="B358" s="1"/>
      <c r="C358" s="64"/>
      <c r="D358" s="64"/>
      <c r="E358" s="64"/>
      <c r="F358" s="64"/>
      <c r="G358" s="64"/>
      <c r="H358" s="64"/>
      <c r="I358" s="32"/>
    </row>
    <row r="359" spans="1:9" ht="12.75">
      <c r="A359" s="32"/>
      <c r="B359" s="1"/>
      <c r="C359" s="64"/>
      <c r="D359" s="64"/>
      <c r="E359" s="64"/>
      <c r="F359" s="64"/>
      <c r="G359" s="64"/>
      <c r="H359" s="64"/>
      <c r="I359" s="32"/>
    </row>
    <row r="360" spans="1:9" ht="12.75">
      <c r="A360" s="32"/>
      <c r="B360" s="1"/>
      <c r="C360" s="64"/>
      <c r="D360" s="64"/>
      <c r="E360" s="64"/>
      <c r="F360" s="64"/>
      <c r="G360" s="64"/>
      <c r="H360" s="64"/>
      <c r="I360" s="32"/>
    </row>
    <row r="361" spans="1:9" ht="12.75">
      <c r="A361" s="32"/>
      <c r="B361" s="1"/>
      <c r="C361" s="64"/>
      <c r="D361" s="64"/>
      <c r="E361" s="64"/>
      <c r="F361" s="64"/>
      <c r="G361" s="64"/>
      <c r="H361" s="64"/>
      <c r="I361" s="32"/>
    </row>
    <row r="362" spans="1:9" ht="12.75">
      <c r="A362" s="32"/>
      <c r="B362" s="1"/>
      <c r="C362" s="64"/>
      <c r="D362" s="64"/>
      <c r="E362" s="64"/>
      <c r="F362" s="64"/>
      <c r="G362" s="64"/>
      <c r="H362" s="64"/>
      <c r="I362" s="32"/>
    </row>
    <row r="363" spans="1:9" ht="12.75">
      <c r="A363" s="32"/>
      <c r="B363" s="1"/>
      <c r="C363" s="64"/>
      <c r="D363" s="64"/>
      <c r="E363" s="64"/>
      <c r="F363" s="64"/>
      <c r="G363" s="64"/>
      <c r="H363" s="64"/>
      <c r="I363" s="32"/>
    </row>
    <row r="364" spans="1:9" ht="12.75">
      <c r="A364" s="32"/>
      <c r="B364" s="1"/>
      <c r="C364" s="64"/>
      <c r="D364" s="64"/>
      <c r="E364" s="64"/>
      <c r="F364" s="64"/>
      <c r="G364" s="64"/>
      <c r="H364" s="64"/>
      <c r="I364" s="32"/>
    </row>
    <row r="365" spans="1:9" ht="12.75">
      <c r="A365" s="32"/>
      <c r="B365" s="1"/>
      <c r="C365" s="64"/>
      <c r="D365" s="64"/>
      <c r="E365" s="64"/>
      <c r="F365" s="64"/>
      <c r="G365" s="64"/>
      <c r="H365" s="64"/>
      <c r="I365" s="32"/>
    </row>
    <row r="366" spans="1:9" ht="12.75">
      <c r="A366" s="32"/>
      <c r="B366" s="1"/>
      <c r="C366" s="64"/>
      <c r="D366" s="64"/>
      <c r="E366" s="64"/>
      <c r="F366" s="64"/>
      <c r="G366" s="64"/>
      <c r="H366" s="64"/>
      <c r="I366" s="32"/>
    </row>
    <row r="367" spans="1:9" ht="12.75">
      <c r="A367" s="32"/>
      <c r="B367" s="1"/>
      <c r="C367" s="64"/>
      <c r="D367" s="64"/>
      <c r="E367" s="64"/>
      <c r="F367" s="64"/>
      <c r="G367" s="64"/>
      <c r="H367" s="64"/>
      <c r="I367" s="32"/>
    </row>
    <row r="368" spans="1:9" ht="12.75">
      <c r="A368" s="32"/>
      <c r="B368" s="1"/>
      <c r="C368" s="64"/>
      <c r="D368" s="64"/>
      <c r="E368" s="64"/>
      <c r="F368" s="64"/>
      <c r="G368" s="64"/>
      <c r="H368" s="64"/>
      <c r="I368" s="32"/>
    </row>
    <row r="369" spans="1:9" ht="12.75">
      <c r="A369" s="32"/>
      <c r="B369" s="1"/>
      <c r="C369" s="64"/>
      <c r="D369" s="64"/>
      <c r="E369" s="64"/>
      <c r="F369" s="64"/>
      <c r="G369" s="64"/>
      <c r="H369" s="64"/>
      <c r="I369" s="32"/>
    </row>
    <row r="370" spans="1:9" ht="12.75">
      <c r="A370" s="32"/>
      <c r="B370" s="1"/>
      <c r="C370" s="64"/>
      <c r="D370" s="64"/>
      <c r="E370" s="64"/>
      <c r="F370" s="64"/>
      <c r="G370" s="64"/>
      <c r="H370" s="64"/>
      <c r="I370" s="32"/>
    </row>
    <row r="371" spans="1:9" ht="12.75">
      <c r="A371" s="32"/>
      <c r="B371" s="1"/>
      <c r="C371" s="64"/>
      <c r="D371" s="64"/>
      <c r="E371" s="64"/>
      <c r="F371" s="64"/>
      <c r="G371" s="64"/>
      <c r="H371" s="64"/>
      <c r="I371" s="32"/>
    </row>
    <row r="372" spans="1:9" ht="12.75">
      <c r="A372" s="32"/>
      <c r="B372" s="1"/>
      <c r="C372" s="64"/>
      <c r="D372" s="64"/>
      <c r="E372" s="64"/>
      <c r="F372" s="64"/>
      <c r="G372" s="64"/>
      <c r="H372" s="64"/>
      <c r="I372" s="32"/>
    </row>
    <row r="373" spans="1:9" ht="12.75">
      <c r="A373" s="32"/>
      <c r="B373" s="1"/>
      <c r="C373" s="64"/>
      <c r="D373" s="64"/>
      <c r="E373" s="64"/>
      <c r="F373" s="64"/>
      <c r="G373" s="64"/>
      <c r="H373" s="64"/>
      <c r="I373" s="32"/>
    </row>
    <row r="374" spans="1:9" ht="12.75">
      <c r="A374" s="32"/>
      <c r="B374" s="1"/>
      <c r="C374" s="64"/>
      <c r="D374" s="64"/>
      <c r="E374" s="64"/>
      <c r="F374" s="64"/>
      <c r="G374" s="64"/>
      <c r="H374" s="64"/>
      <c r="I374" s="32"/>
    </row>
    <row r="375" spans="1:9" ht="12.75">
      <c r="A375" s="32"/>
      <c r="B375" s="1"/>
      <c r="C375" s="64"/>
      <c r="D375" s="64"/>
      <c r="E375" s="64"/>
      <c r="F375" s="64"/>
      <c r="G375" s="64"/>
      <c r="H375" s="64"/>
      <c r="I375" s="32"/>
    </row>
    <row r="376" spans="1:9" ht="12.75">
      <c r="A376" s="32"/>
      <c r="B376" s="1"/>
      <c r="C376" s="64"/>
      <c r="D376" s="64"/>
      <c r="E376" s="64"/>
      <c r="F376" s="64"/>
      <c r="G376" s="64"/>
      <c r="H376" s="64"/>
      <c r="I376" s="32"/>
    </row>
    <row r="377" spans="1:9" ht="12.75">
      <c r="A377" s="32"/>
      <c r="B377" s="1"/>
      <c r="C377" s="64"/>
      <c r="D377" s="64"/>
      <c r="E377" s="64"/>
      <c r="F377" s="64"/>
      <c r="G377" s="64"/>
      <c r="H377" s="64"/>
      <c r="I377" s="32"/>
    </row>
    <row r="378" spans="1:9" ht="12.75">
      <c r="A378" s="32"/>
      <c r="B378" s="1"/>
      <c r="C378" s="64"/>
      <c r="D378" s="64"/>
      <c r="E378" s="64"/>
      <c r="F378" s="64"/>
      <c r="G378" s="64"/>
      <c r="H378" s="64"/>
      <c r="I378" s="32"/>
    </row>
    <row r="379" spans="1:9" ht="12.75">
      <c r="A379" s="32"/>
      <c r="B379" s="1"/>
      <c r="C379" s="64"/>
      <c r="D379" s="64"/>
      <c r="E379" s="64"/>
      <c r="F379" s="64"/>
      <c r="G379" s="64"/>
      <c r="H379" s="64"/>
      <c r="I379" s="32"/>
    </row>
    <row r="380" spans="1:9" ht="12.75">
      <c r="A380" s="32"/>
      <c r="B380" s="1"/>
      <c r="C380" s="64"/>
      <c r="D380" s="64"/>
      <c r="E380" s="64"/>
      <c r="F380" s="64"/>
      <c r="G380" s="64"/>
      <c r="H380" s="64"/>
      <c r="I380" s="32"/>
    </row>
    <row r="381" spans="1:9" ht="12.75">
      <c r="A381" s="32"/>
      <c r="B381" s="1"/>
      <c r="C381" s="64"/>
      <c r="D381" s="64"/>
      <c r="E381" s="64"/>
      <c r="F381" s="64"/>
      <c r="G381" s="64"/>
      <c r="H381" s="64"/>
      <c r="I381" s="32"/>
    </row>
    <row r="382" spans="1:9" ht="12.75">
      <c r="A382" s="32"/>
      <c r="B382" s="1"/>
      <c r="C382" s="64"/>
      <c r="D382" s="64"/>
      <c r="E382" s="64"/>
      <c r="F382" s="64"/>
      <c r="G382" s="64"/>
      <c r="H382" s="64"/>
      <c r="I382" s="32"/>
    </row>
    <row r="383" spans="1:9" ht="12.75">
      <c r="A383" s="32"/>
      <c r="B383" s="1"/>
      <c r="C383" s="64"/>
      <c r="D383" s="64"/>
      <c r="E383" s="64"/>
      <c r="F383" s="64"/>
      <c r="G383" s="64"/>
      <c r="H383" s="64"/>
      <c r="I383" s="32"/>
    </row>
    <row r="384" spans="1:9" ht="12.75">
      <c r="A384" s="32"/>
      <c r="B384" s="1"/>
      <c r="C384" s="64"/>
      <c r="D384" s="64"/>
      <c r="E384" s="64"/>
      <c r="F384" s="64"/>
      <c r="G384" s="64"/>
      <c r="H384" s="64"/>
      <c r="I384" s="32"/>
    </row>
    <row r="385" spans="1:9" ht="12.75">
      <c r="A385" s="32"/>
      <c r="B385" s="1"/>
      <c r="C385" s="64"/>
      <c r="D385" s="64"/>
      <c r="E385" s="64"/>
      <c r="F385" s="64"/>
      <c r="G385" s="64"/>
      <c r="H385" s="64"/>
      <c r="I385" s="32"/>
    </row>
    <row r="386" spans="1:9" ht="12.75">
      <c r="A386" s="32"/>
      <c r="B386" s="1"/>
      <c r="C386" s="64"/>
      <c r="D386" s="64"/>
      <c r="E386" s="64"/>
      <c r="F386" s="64"/>
      <c r="G386" s="64"/>
      <c r="H386" s="64"/>
      <c r="I386" s="32"/>
    </row>
    <row r="387" spans="1:9" ht="12.75">
      <c r="A387" s="32"/>
      <c r="B387" s="1"/>
      <c r="C387" s="64"/>
      <c r="D387" s="64"/>
      <c r="E387" s="64"/>
      <c r="F387" s="64"/>
      <c r="G387" s="64"/>
      <c r="H387" s="64"/>
      <c r="I387" s="32"/>
    </row>
    <row r="388" spans="1:9" ht="12.75">
      <c r="A388" s="32"/>
      <c r="B388" s="1"/>
      <c r="C388" s="64"/>
      <c r="D388" s="64"/>
      <c r="E388" s="64"/>
      <c r="F388" s="64"/>
      <c r="G388" s="64"/>
      <c r="H388" s="64"/>
      <c r="I388" s="32"/>
    </row>
    <row r="389" spans="1:9" ht="12.75">
      <c r="A389" s="32"/>
      <c r="B389" s="1"/>
      <c r="C389" s="64"/>
      <c r="D389" s="64"/>
      <c r="E389" s="64"/>
      <c r="F389" s="64"/>
      <c r="G389" s="64"/>
      <c r="H389" s="64"/>
      <c r="I389" s="32"/>
    </row>
    <row r="390" spans="1:9" ht="12.75">
      <c r="A390" s="32"/>
      <c r="B390" s="1"/>
      <c r="C390" s="64"/>
      <c r="D390" s="64"/>
      <c r="E390" s="64"/>
      <c r="F390" s="64"/>
      <c r="G390" s="64"/>
      <c r="H390" s="64"/>
      <c r="I390" s="32"/>
    </row>
    <row r="391" spans="1:9" ht="12.75">
      <c r="A391" s="32"/>
      <c r="B391" s="1"/>
      <c r="C391" s="64"/>
      <c r="D391" s="64"/>
      <c r="E391" s="64"/>
      <c r="F391" s="64"/>
      <c r="G391" s="64"/>
      <c r="H391" s="64"/>
      <c r="I391" s="32"/>
    </row>
    <row r="392" spans="1:9" ht="12.75">
      <c r="A392" s="32"/>
      <c r="B392" s="1"/>
      <c r="C392" s="64"/>
      <c r="D392" s="64"/>
      <c r="E392" s="64"/>
      <c r="F392" s="64"/>
      <c r="G392" s="64"/>
      <c r="H392" s="64"/>
      <c r="I392" s="32"/>
    </row>
    <row r="393" spans="1:9" ht="12.75">
      <c r="A393" s="32"/>
      <c r="B393" s="1"/>
      <c r="C393" s="64"/>
      <c r="D393" s="64"/>
      <c r="E393" s="64"/>
      <c r="F393" s="64"/>
      <c r="G393" s="64"/>
      <c r="H393" s="64"/>
      <c r="I393" s="32"/>
    </row>
    <row r="394" spans="1:9" ht="12.75">
      <c r="A394" s="32"/>
      <c r="B394" s="1"/>
      <c r="C394" s="64"/>
      <c r="D394" s="64"/>
      <c r="E394" s="64"/>
      <c r="F394" s="64"/>
      <c r="G394" s="64"/>
      <c r="H394" s="64"/>
      <c r="I394" s="32"/>
    </row>
    <row r="395" spans="1:9" ht="12.75">
      <c r="A395" s="32"/>
      <c r="B395" s="1"/>
      <c r="C395" s="64"/>
      <c r="D395" s="64"/>
      <c r="E395" s="64"/>
      <c r="F395" s="64"/>
      <c r="G395" s="64"/>
      <c r="H395" s="64"/>
      <c r="I395" s="32"/>
    </row>
    <row r="396" spans="1:9" ht="12.75">
      <c r="A396" s="32"/>
      <c r="B396" s="1"/>
      <c r="C396" s="64"/>
      <c r="D396" s="64"/>
      <c r="E396" s="64"/>
      <c r="F396" s="64"/>
      <c r="G396" s="64"/>
      <c r="H396" s="64"/>
      <c r="I396" s="32"/>
    </row>
    <row r="397" spans="1:9" ht="12.75">
      <c r="A397" s="32"/>
      <c r="B397" s="1"/>
      <c r="C397" s="64"/>
      <c r="D397" s="64"/>
      <c r="E397" s="64"/>
      <c r="F397" s="64"/>
      <c r="G397" s="64"/>
      <c r="H397" s="64"/>
      <c r="I397" s="32"/>
    </row>
    <row r="398" spans="1:9" ht="12.75">
      <c r="A398" s="32"/>
      <c r="B398" s="1"/>
      <c r="C398" s="64"/>
      <c r="D398" s="64"/>
      <c r="E398" s="64"/>
      <c r="F398" s="64"/>
      <c r="G398" s="64"/>
      <c r="H398" s="64"/>
      <c r="I398" s="32"/>
    </row>
    <row r="399" spans="1:9" ht="12.75">
      <c r="A399" s="32"/>
      <c r="B399" s="1"/>
      <c r="C399" s="64"/>
      <c r="D399" s="64"/>
      <c r="E399" s="64"/>
      <c r="F399" s="64"/>
      <c r="G399" s="64"/>
      <c r="H399" s="64"/>
      <c r="I399" s="32"/>
    </row>
    <row r="400" spans="1:9" ht="12.75">
      <c r="A400" s="32"/>
      <c r="B400" s="1"/>
      <c r="C400" s="64"/>
      <c r="D400" s="64"/>
      <c r="E400" s="64"/>
      <c r="F400" s="64"/>
      <c r="G400" s="64"/>
      <c r="H400" s="64"/>
      <c r="I400" s="32"/>
    </row>
    <row r="401" spans="1:9" ht="12.75">
      <c r="A401" s="32"/>
      <c r="B401" s="1"/>
      <c r="C401" s="64"/>
      <c r="D401" s="64"/>
      <c r="E401" s="64"/>
      <c r="F401" s="64"/>
      <c r="G401" s="64"/>
      <c r="H401" s="64"/>
      <c r="I401" s="32"/>
    </row>
    <row r="402" spans="1:9" ht="12.75">
      <c r="A402" s="32"/>
      <c r="B402" s="1"/>
      <c r="C402" s="64"/>
      <c r="D402" s="64"/>
      <c r="E402" s="64"/>
      <c r="F402" s="64"/>
      <c r="G402" s="64"/>
      <c r="H402" s="64"/>
      <c r="I402" s="32"/>
    </row>
    <row r="403" spans="1:9" ht="12.75">
      <c r="A403" s="32"/>
      <c r="B403" s="1"/>
      <c r="C403" s="64"/>
      <c r="D403" s="64"/>
      <c r="E403" s="64"/>
      <c r="F403" s="64"/>
      <c r="G403" s="64"/>
      <c r="H403" s="64"/>
      <c r="I403" s="32"/>
    </row>
    <row r="404" spans="1:9" ht="12.75">
      <c r="A404" s="32"/>
      <c r="B404" s="1"/>
      <c r="C404" s="64"/>
      <c r="D404" s="64"/>
      <c r="E404" s="64"/>
      <c r="F404" s="64"/>
      <c r="G404" s="64"/>
      <c r="H404" s="64"/>
      <c r="I404" s="32"/>
    </row>
    <row r="405" spans="1:9" ht="12.75">
      <c r="A405" s="32"/>
      <c r="B405" s="1"/>
      <c r="C405" s="64"/>
      <c r="D405" s="64"/>
      <c r="E405" s="64"/>
      <c r="F405" s="64"/>
      <c r="G405" s="64"/>
      <c r="H405" s="64"/>
      <c r="I405" s="32"/>
    </row>
    <row r="406" spans="1:9" ht="12.75">
      <c r="A406" s="32"/>
      <c r="B406" s="1"/>
      <c r="C406" s="64"/>
      <c r="D406" s="64"/>
      <c r="E406" s="64"/>
      <c r="F406" s="64"/>
      <c r="G406" s="64"/>
      <c r="H406" s="64"/>
      <c r="I406" s="32"/>
    </row>
    <row r="407" spans="1:9" ht="12.75">
      <c r="A407" s="32"/>
      <c r="B407" s="1"/>
      <c r="C407" s="64"/>
      <c r="D407" s="64"/>
      <c r="E407" s="64"/>
      <c r="F407" s="64"/>
      <c r="G407" s="64"/>
      <c r="H407" s="64"/>
      <c r="I407" s="32"/>
    </row>
    <row r="408" spans="1:9" ht="12.75">
      <c r="A408" s="32"/>
      <c r="B408" s="1"/>
      <c r="C408" s="64"/>
      <c r="D408" s="64"/>
      <c r="E408" s="64"/>
      <c r="F408" s="64"/>
      <c r="G408" s="64"/>
      <c r="H408" s="64"/>
      <c r="I408" s="32"/>
    </row>
    <row r="409" spans="1:9" ht="12.75">
      <c r="A409" s="32"/>
      <c r="B409" s="1"/>
      <c r="C409" s="64"/>
      <c r="D409" s="64"/>
      <c r="E409" s="64"/>
      <c r="F409" s="64"/>
      <c r="G409" s="64"/>
      <c r="H409" s="64"/>
      <c r="I409" s="32"/>
    </row>
    <row r="410" spans="1:9" ht="12.75">
      <c r="A410" s="32"/>
      <c r="B410" s="1"/>
      <c r="C410" s="64"/>
      <c r="D410" s="64"/>
      <c r="E410" s="64"/>
      <c r="F410" s="64"/>
      <c r="G410" s="64"/>
      <c r="H410" s="64"/>
      <c r="I410" s="32"/>
    </row>
    <row r="411" spans="1:9" ht="12.75">
      <c r="A411" s="32"/>
      <c r="B411" s="1"/>
      <c r="C411" s="64"/>
      <c r="D411" s="64"/>
      <c r="E411" s="64"/>
      <c r="F411" s="64"/>
      <c r="G411" s="64"/>
      <c r="H411" s="64"/>
      <c r="I411" s="32"/>
    </row>
    <row r="412" spans="1:9" ht="12.75">
      <c r="A412" s="32"/>
      <c r="B412" s="1"/>
      <c r="C412" s="64"/>
      <c r="D412" s="64"/>
      <c r="E412" s="64"/>
      <c r="F412" s="64"/>
      <c r="G412" s="64"/>
      <c r="H412" s="64"/>
      <c r="I412" s="32"/>
    </row>
    <row r="413" spans="1:9" ht="12.75">
      <c r="A413" s="32"/>
      <c r="B413" s="1"/>
      <c r="C413" s="64"/>
      <c r="D413" s="64"/>
      <c r="E413" s="64"/>
      <c r="F413" s="64"/>
      <c r="G413" s="64"/>
      <c r="H413" s="64"/>
      <c r="I413" s="32"/>
    </row>
    <row r="414" spans="1:9" ht="12.75">
      <c r="A414" s="32"/>
      <c r="B414" s="1"/>
      <c r="C414" s="64"/>
      <c r="D414" s="64"/>
      <c r="E414" s="64"/>
      <c r="F414" s="64"/>
      <c r="G414" s="64"/>
      <c r="H414" s="64"/>
      <c r="I414" s="32"/>
    </row>
    <row r="415" spans="1:9" ht="12.75">
      <c r="A415" s="32"/>
      <c r="B415" s="1"/>
      <c r="C415" s="64"/>
      <c r="D415" s="64"/>
      <c r="E415" s="64"/>
      <c r="F415" s="64"/>
      <c r="G415" s="64"/>
      <c r="H415" s="64"/>
      <c r="I415" s="32"/>
    </row>
    <row r="416" spans="1:9" ht="12.75">
      <c r="A416" s="32"/>
      <c r="B416" s="1"/>
      <c r="C416" s="64"/>
      <c r="D416" s="64"/>
      <c r="E416" s="64"/>
      <c r="F416" s="64"/>
      <c r="G416" s="64"/>
      <c r="H416" s="64"/>
      <c r="I416" s="32"/>
    </row>
    <row r="417" spans="1:9" ht="12.75">
      <c r="A417" s="32"/>
      <c r="B417" s="1"/>
      <c r="C417" s="64"/>
      <c r="D417" s="64"/>
      <c r="E417" s="64"/>
      <c r="F417" s="64"/>
      <c r="G417" s="64"/>
      <c r="H417" s="64"/>
      <c r="I417" s="32"/>
    </row>
    <row r="418" spans="1:9" ht="12.75">
      <c r="A418" s="32"/>
      <c r="B418" s="1"/>
      <c r="C418" s="64"/>
      <c r="D418" s="64"/>
      <c r="E418" s="64"/>
      <c r="F418" s="64"/>
      <c r="G418" s="64"/>
      <c r="H418" s="64"/>
      <c r="I418" s="32"/>
    </row>
    <row r="419" spans="1:9" ht="12.75">
      <c r="A419" s="32"/>
      <c r="B419" s="1"/>
      <c r="C419" s="64"/>
      <c r="D419" s="64"/>
      <c r="E419" s="64"/>
      <c r="F419" s="64"/>
      <c r="G419" s="64"/>
      <c r="H419" s="64"/>
      <c r="I419" s="32"/>
    </row>
    <row r="420" spans="1:9" ht="12.75">
      <c r="A420" s="32"/>
      <c r="B420" s="1"/>
      <c r="C420" s="64"/>
      <c r="D420" s="64"/>
      <c r="E420" s="64"/>
      <c r="F420" s="64"/>
      <c r="G420" s="64"/>
      <c r="H420" s="64"/>
      <c r="I420" s="32"/>
    </row>
    <row r="421" spans="1:9" ht="12.75">
      <c r="A421" s="32"/>
      <c r="B421" s="1"/>
      <c r="C421" s="64"/>
      <c r="D421" s="64"/>
      <c r="E421" s="64"/>
      <c r="F421" s="64"/>
      <c r="G421" s="64"/>
      <c r="H421" s="64"/>
      <c r="I421" s="32"/>
    </row>
    <row r="422" spans="1:9" ht="12.75">
      <c r="A422" s="32"/>
      <c r="B422" s="1"/>
      <c r="C422" s="64"/>
      <c r="D422" s="64"/>
      <c r="E422" s="64"/>
      <c r="F422" s="64"/>
      <c r="G422" s="64"/>
      <c r="H422" s="64"/>
      <c r="I422" s="32"/>
    </row>
    <row r="423" spans="1:9" ht="12.75">
      <c r="A423" s="32"/>
      <c r="B423" s="1"/>
      <c r="C423" s="64"/>
      <c r="D423" s="64"/>
      <c r="E423" s="64"/>
      <c r="F423" s="64"/>
      <c r="G423" s="64"/>
      <c r="H423" s="64"/>
      <c r="I423" s="32"/>
    </row>
    <row r="424" spans="1:9" ht="12.75">
      <c r="A424" s="32"/>
      <c r="B424" s="1"/>
      <c r="C424" s="64"/>
      <c r="D424" s="64"/>
      <c r="E424" s="64"/>
      <c r="F424" s="64"/>
      <c r="G424" s="64"/>
      <c r="H424" s="64"/>
      <c r="I424" s="32"/>
    </row>
    <row r="425" spans="1:9" ht="12.75">
      <c r="A425" s="32"/>
      <c r="B425" s="1"/>
      <c r="C425" s="64"/>
      <c r="D425" s="64"/>
      <c r="E425" s="64"/>
      <c r="F425" s="64"/>
      <c r="G425" s="64"/>
      <c r="H425" s="64"/>
      <c r="I425" s="32"/>
    </row>
    <row r="426" spans="1:9" ht="12.75">
      <c r="A426" s="32"/>
      <c r="B426" s="1"/>
      <c r="C426" s="64"/>
      <c r="D426" s="64"/>
      <c r="E426" s="64"/>
      <c r="F426" s="64"/>
      <c r="G426" s="64"/>
      <c r="H426" s="64"/>
      <c r="I426" s="32"/>
    </row>
    <row r="427" spans="1:9" ht="12.75">
      <c r="A427" s="32"/>
      <c r="B427" s="1"/>
      <c r="C427" s="64"/>
      <c r="D427" s="64"/>
      <c r="E427" s="64"/>
      <c r="F427" s="64"/>
      <c r="G427" s="64"/>
      <c r="H427" s="64"/>
      <c r="I427" s="32"/>
    </row>
    <row r="428" spans="1:9" ht="12.75">
      <c r="A428" s="32"/>
      <c r="B428" s="1"/>
      <c r="C428" s="64"/>
      <c r="D428" s="64"/>
      <c r="E428" s="64"/>
      <c r="F428" s="64"/>
      <c r="G428" s="64"/>
      <c r="H428" s="64"/>
      <c r="I428" s="32"/>
    </row>
    <row r="429" spans="1:9" ht="12.75">
      <c r="A429" s="32"/>
      <c r="B429" s="1"/>
      <c r="C429" s="64"/>
      <c r="D429" s="64"/>
      <c r="E429" s="64"/>
      <c r="F429" s="64"/>
      <c r="G429" s="64"/>
      <c r="H429" s="64"/>
      <c r="I429" s="32"/>
    </row>
    <row r="430" spans="1:9" ht="12.75">
      <c r="A430" s="32"/>
      <c r="B430" s="1"/>
      <c r="C430" s="64"/>
      <c r="D430" s="64"/>
      <c r="E430" s="64"/>
      <c r="F430" s="64"/>
      <c r="G430" s="64"/>
      <c r="H430" s="64"/>
      <c r="I430" s="32"/>
    </row>
    <row r="431" spans="1:9" ht="12.75">
      <c r="A431" s="32"/>
      <c r="B431" s="1"/>
      <c r="C431" s="64"/>
      <c r="D431" s="64"/>
      <c r="E431" s="64"/>
      <c r="F431" s="64"/>
      <c r="G431" s="64"/>
      <c r="H431" s="64"/>
      <c r="I431" s="32"/>
    </row>
    <row r="432" spans="1:9" ht="12.75">
      <c r="A432" s="32"/>
      <c r="B432" s="1"/>
      <c r="C432" s="64"/>
      <c r="D432" s="64"/>
      <c r="E432" s="64"/>
      <c r="F432" s="64"/>
      <c r="G432" s="64"/>
      <c r="H432" s="64"/>
      <c r="I432" s="32"/>
    </row>
    <row r="433" spans="1:9" ht="12.75">
      <c r="A433" s="32"/>
      <c r="B433" s="1"/>
      <c r="C433" s="64"/>
      <c r="D433" s="64"/>
      <c r="E433" s="64"/>
      <c r="F433" s="64"/>
      <c r="G433" s="64"/>
      <c r="H433" s="64"/>
      <c r="I433" s="32"/>
    </row>
    <row r="434" spans="1:9" ht="12.75">
      <c r="A434" s="32"/>
      <c r="B434" s="1"/>
      <c r="C434" s="64"/>
      <c r="D434" s="64"/>
      <c r="E434" s="64"/>
      <c r="F434" s="64"/>
      <c r="G434" s="64"/>
      <c r="H434" s="64"/>
      <c r="I434" s="32"/>
    </row>
    <row r="435" spans="1:9" ht="12.75">
      <c r="A435" s="32"/>
      <c r="B435" s="1"/>
      <c r="C435" s="64"/>
      <c r="D435" s="64"/>
      <c r="E435" s="64"/>
      <c r="F435" s="64"/>
      <c r="G435" s="64"/>
      <c r="H435" s="64"/>
      <c r="I435" s="32"/>
    </row>
    <row r="436" spans="1:9" ht="12.75">
      <c r="A436" s="32"/>
      <c r="B436" s="1"/>
      <c r="C436" s="64"/>
      <c r="D436" s="64"/>
      <c r="E436" s="64"/>
      <c r="F436" s="64"/>
      <c r="G436" s="64"/>
      <c r="H436" s="64"/>
      <c r="I436" s="32"/>
    </row>
    <row r="437" spans="1:9" ht="12.75">
      <c r="A437" s="32"/>
      <c r="B437" s="1"/>
      <c r="C437" s="64"/>
      <c r="D437" s="64"/>
      <c r="E437" s="64"/>
      <c r="F437" s="64"/>
      <c r="G437" s="64"/>
      <c r="H437" s="64"/>
      <c r="I437" s="32"/>
    </row>
    <row r="438" spans="1:9" ht="12.75">
      <c r="A438" s="32"/>
      <c r="B438" s="1"/>
      <c r="C438" s="64"/>
      <c r="D438" s="64"/>
      <c r="E438" s="64"/>
      <c r="F438" s="64"/>
      <c r="G438" s="64"/>
      <c r="H438" s="64"/>
      <c r="I438" s="32"/>
    </row>
    <row r="439" spans="1:9" ht="12.75">
      <c r="A439" s="32"/>
      <c r="B439" s="1"/>
      <c r="C439" s="64"/>
      <c r="D439" s="64"/>
      <c r="E439" s="64"/>
      <c r="F439" s="64"/>
      <c r="G439" s="64"/>
      <c r="H439" s="64"/>
      <c r="I439" s="32"/>
    </row>
    <row r="440" spans="1:9" ht="12.75">
      <c r="A440" s="32"/>
      <c r="B440" s="1"/>
      <c r="C440" s="64"/>
      <c r="D440" s="64"/>
      <c r="E440" s="64"/>
      <c r="F440" s="64"/>
      <c r="G440" s="64"/>
      <c r="H440" s="64"/>
      <c r="I440" s="32"/>
    </row>
    <row r="441" spans="1:9" ht="12.75">
      <c r="A441" s="32"/>
      <c r="B441" s="1"/>
      <c r="C441" s="64"/>
      <c r="D441" s="64"/>
      <c r="E441" s="64"/>
      <c r="F441" s="64"/>
      <c r="G441" s="64"/>
      <c r="H441" s="64"/>
      <c r="I441" s="32"/>
    </row>
    <row r="442" spans="1:9" ht="12.75">
      <c r="A442" s="32"/>
      <c r="B442" s="1"/>
      <c r="C442" s="64"/>
      <c r="D442" s="64"/>
      <c r="E442" s="64"/>
      <c r="F442" s="64"/>
      <c r="G442" s="64"/>
      <c r="H442" s="64"/>
      <c r="I442" s="32"/>
    </row>
    <row r="443" spans="1:9" ht="12.75">
      <c r="A443" s="32"/>
      <c r="B443" s="1"/>
      <c r="C443" s="64"/>
      <c r="D443" s="64"/>
      <c r="E443" s="64"/>
      <c r="F443" s="64"/>
      <c r="G443" s="64"/>
      <c r="H443" s="64"/>
      <c r="I443" s="32"/>
    </row>
    <row r="444" spans="1:9" ht="12.75">
      <c r="A444" s="32"/>
      <c r="B444" s="1"/>
      <c r="C444" s="64"/>
      <c r="D444" s="64"/>
      <c r="E444" s="64"/>
      <c r="F444" s="64"/>
      <c r="G444" s="64"/>
      <c r="H444" s="64"/>
      <c r="I444" s="32"/>
    </row>
    <row r="445" spans="1:9" ht="12.75">
      <c r="A445" s="32"/>
      <c r="B445" s="1"/>
      <c r="C445" s="64"/>
      <c r="D445" s="64"/>
      <c r="E445" s="64"/>
      <c r="F445" s="64"/>
      <c r="G445" s="64"/>
      <c r="H445" s="64"/>
      <c r="I445" s="32"/>
    </row>
    <row r="446" spans="1:9" ht="12.75">
      <c r="A446" s="32"/>
      <c r="B446" s="1"/>
      <c r="C446" s="64"/>
      <c r="D446" s="64"/>
      <c r="E446" s="64"/>
      <c r="F446" s="64"/>
      <c r="G446" s="64"/>
      <c r="H446" s="64"/>
      <c r="I446" s="32"/>
    </row>
    <row r="447" spans="1:9" ht="12.75">
      <c r="A447" s="32"/>
      <c r="B447" s="1"/>
      <c r="C447" s="64"/>
      <c r="D447" s="64"/>
      <c r="E447" s="64"/>
      <c r="F447" s="64"/>
      <c r="G447" s="64"/>
      <c r="H447" s="64"/>
      <c r="I447" s="32"/>
    </row>
    <row r="448" spans="1:9" ht="12.75">
      <c r="A448" s="32"/>
      <c r="B448" s="1"/>
      <c r="C448" s="64"/>
      <c r="D448" s="64"/>
      <c r="E448" s="64"/>
      <c r="F448" s="64"/>
      <c r="G448" s="64"/>
      <c r="H448" s="64"/>
      <c r="I448" s="32"/>
    </row>
    <row r="449" spans="1:9" ht="12.75">
      <c r="A449" s="32"/>
      <c r="B449" s="1"/>
      <c r="C449" s="64"/>
      <c r="D449" s="64"/>
      <c r="E449" s="64"/>
      <c r="F449" s="64"/>
      <c r="G449" s="64"/>
      <c r="H449" s="64"/>
      <c r="I449" s="32"/>
    </row>
    <row r="450" spans="1:9" ht="12.75">
      <c r="A450" s="32"/>
      <c r="B450" s="1"/>
      <c r="C450" s="64"/>
      <c r="D450" s="64"/>
      <c r="E450" s="64"/>
      <c r="F450" s="64"/>
      <c r="G450" s="64"/>
      <c r="H450" s="64"/>
      <c r="I450" s="32"/>
    </row>
    <row r="451" spans="1:9" ht="12.75">
      <c r="A451" s="32"/>
      <c r="B451" s="1"/>
      <c r="C451" s="64"/>
      <c r="D451" s="64"/>
      <c r="E451" s="64"/>
      <c r="F451" s="64"/>
      <c r="G451" s="64"/>
      <c r="H451" s="64"/>
      <c r="I451" s="32"/>
    </row>
    <row r="452" spans="1:9" ht="12.75">
      <c r="A452" s="32"/>
      <c r="B452" s="1"/>
      <c r="C452" s="64"/>
      <c r="D452" s="64"/>
      <c r="E452" s="64"/>
      <c r="F452" s="64"/>
      <c r="G452" s="64"/>
      <c r="H452" s="64"/>
      <c r="I452" s="32"/>
    </row>
    <row r="453" spans="1:9" ht="12.75">
      <c r="A453" s="32"/>
      <c r="B453" s="1"/>
      <c r="C453" s="64"/>
      <c r="D453" s="64"/>
      <c r="E453" s="64"/>
      <c r="F453" s="64"/>
      <c r="G453" s="64"/>
      <c r="H453" s="64"/>
      <c r="I453" s="32"/>
    </row>
    <row r="454" spans="1:9" ht="12.75">
      <c r="A454" s="32"/>
      <c r="B454" s="1"/>
      <c r="C454" s="64"/>
      <c r="D454" s="64"/>
      <c r="E454" s="64"/>
      <c r="F454" s="64"/>
      <c r="G454" s="64"/>
      <c r="H454" s="64"/>
      <c r="I454" s="32"/>
    </row>
    <row r="455" spans="1:9" ht="12.75">
      <c r="A455" s="32"/>
      <c r="B455" s="1"/>
      <c r="C455" s="64"/>
      <c r="D455" s="64"/>
      <c r="E455" s="64"/>
      <c r="F455" s="64"/>
      <c r="G455" s="64"/>
      <c r="H455" s="64"/>
      <c r="I455" s="32"/>
    </row>
    <row r="456" spans="1:9" ht="12.75">
      <c r="A456" s="32"/>
      <c r="B456" s="1"/>
      <c r="C456" s="64"/>
      <c r="D456" s="64"/>
      <c r="E456" s="64"/>
      <c r="F456" s="64"/>
      <c r="G456" s="64"/>
      <c r="H456" s="64"/>
      <c r="I456" s="32"/>
    </row>
    <row r="457" spans="1:9" ht="12.75">
      <c r="A457" s="32"/>
      <c r="B457" s="1"/>
      <c r="C457" s="64"/>
      <c r="D457" s="64"/>
      <c r="E457" s="64"/>
      <c r="F457" s="64"/>
      <c r="G457" s="64"/>
      <c r="H457" s="64"/>
      <c r="I457" s="32"/>
    </row>
    <row r="458" spans="1:9" ht="12.75">
      <c r="A458" s="32"/>
      <c r="B458" s="1"/>
      <c r="C458" s="64"/>
      <c r="D458" s="64"/>
      <c r="E458" s="64"/>
      <c r="F458" s="64"/>
      <c r="G458" s="64"/>
      <c r="H458" s="64"/>
      <c r="I458" s="32"/>
    </row>
    <row r="459" spans="1:9" ht="12.75">
      <c r="A459" s="32"/>
      <c r="B459" s="1"/>
      <c r="C459" s="64"/>
      <c r="D459" s="64"/>
      <c r="E459" s="64"/>
      <c r="F459" s="64"/>
      <c r="G459" s="64"/>
      <c r="H459" s="64"/>
      <c r="I459" s="32"/>
    </row>
    <row r="460" spans="1:9" ht="12.75">
      <c r="A460" s="32"/>
      <c r="B460" s="1"/>
      <c r="C460" s="64"/>
      <c r="D460" s="64"/>
      <c r="E460" s="64"/>
      <c r="F460" s="64"/>
      <c r="G460" s="64"/>
      <c r="H460" s="64"/>
      <c r="I460" s="32"/>
    </row>
    <row r="461" spans="1:9" ht="12.75">
      <c r="A461" s="32"/>
      <c r="B461" s="1"/>
      <c r="C461" s="64"/>
      <c r="D461" s="64"/>
      <c r="E461" s="64"/>
      <c r="F461" s="64"/>
      <c r="G461" s="64"/>
      <c r="H461" s="64"/>
      <c r="I461" s="32"/>
    </row>
    <row r="462" spans="1:9" ht="12.75">
      <c r="A462" s="32"/>
      <c r="B462" s="1"/>
      <c r="C462" s="64"/>
      <c r="D462" s="64"/>
      <c r="E462" s="64"/>
      <c r="F462" s="64"/>
      <c r="G462" s="64"/>
      <c r="H462" s="64"/>
      <c r="I462" s="32"/>
    </row>
    <row r="463" spans="1:9" ht="12.75">
      <c r="A463" s="32"/>
      <c r="B463" s="1"/>
      <c r="C463" s="64"/>
      <c r="D463" s="64"/>
      <c r="E463" s="64"/>
      <c r="F463" s="64"/>
      <c r="G463" s="64"/>
      <c r="H463" s="64"/>
      <c r="I463" s="32"/>
    </row>
    <row r="464" spans="1:9" ht="12.75">
      <c r="A464" s="32"/>
      <c r="B464" s="1"/>
      <c r="C464" s="64"/>
      <c r="D464" s="64"/>
      <c r="E464" s="64"/>
      <c r="F464" s="64"/>
      <c r="G464" s="64"/>
      <c r="H464" s="64"/>
      <c r="I464" s="32"/>
    </row>
    <row r="465" spans="1:9" ht="12.75">
      <c r="A465" s="32"/>
      <c r="B465" s="1"/>
      <c r="C465" s="64"/>
      <c r="D465" s="64"/>
      <c r="E465" s="64"/>
      <c r="F465" s="64"/>
      <c r="G465" s="64"/>
      <c r="H465" s="64"/>
      <c r="I465" s="32"/>
    </row>
    <row r="466" spans="1:9" ht="12.75">
      <c r="A466" s="32"/>
      <c r="B466" s="1"/>
      <c r="C466" s="64"/>
      <c r="D466" s="64"/>
      <c r="E466" s="64"/>
      <c r="F466" s="64"/>
      <c r="G466" s="64"/>
      <c r="H466" s="64"/>
      <c r="I466" s="32"/>
    </row>
    <row r="467" spans="1:9" ht="12.75">
      <c r="A467" s="32"/>
      <c r="B467" s="1"/>
      <c r="C467" s="64"/>
      <c r="D467" s="64"/>
      <c r="E467" s="64"/>
      <c r="F467" s="64"/>
      <c r="G467" s="64"/>
      <c r="H467" s="64"/>
      <c r="I467" s="32"/>
    </row>
    <row r="468" spans="1:9" ht="12.75">
      <c r="A468" s="32"/>
      <c r="B468" s="1"/>
      <c r="C468" s="64"/>
      <c r="D468" s="64"/>
      <c r="E468" s="64"/>
      <c r="F468" s="64"/>
      <c r="G468" s="64"/>
      <c r="H468" s="64"/>
      <c r="I468" s="32"/>
    </row>
    <row r="469" spans="1:9" ht="12.75">
      <c r="A469" s="32"/>
      <c r="B469" s="1"/>
      <c r="C469" s="64"/>
      <c r="D469" s="64"/>
      <c r="E469" s="64"/>
      <c r="F469" s="64"/>
      <c r="G469" s="64"/>
      <c r="H469" s="64"/>
      <c r="I469" s="32"/>
    </row>
    <row r="470" spans="1:9" ht="12.75">
      <c r="A470" s="32"/>
      <c r="B470" s="1"/>
      <c r="C470" s="64"/>
      <c r="D470" s="64"/>
      <c r="E470" s="64"/>
      <c r="F470" s="64"/>
      <c r="G470" s="64"/>
      <c r="H470" s="64"/>
      <c r="I470" s="32"/>
    </row>
    <row r="471" spans="1:9" ht="12.75">
      <c r="A471" s="32"/>
      <c r="B471" s="1"/>
      <c r="C471" s="64"/>
      <c r="D471" s="64"/>
      <c r="E471" s="64"/>
      <c r="F471" s="64"/>
      <c r="G471" s="64"/>
      <c r="H471" s="64"/>
      <c r="I471" s="32"/>
    </row>
    <row r="472" spans="1:9" ht="12.75">
      <c r="A472" s="32"/>
      <c r="B472" s="1"/>
      <c r="C472" s="64"/>
      <c r="D472" s="64"/>
      <c r="E472" s="64"/>
      <c r="F472" s="64"/>
      <c r="G472" s="64"/>
      <c r="H472" s="64"/>
      <c r="I472" s="32"/>
    </row>
    <row r="473" spans="1:9" ht="12.75">
      <c r="A473" s="32"/>
      <c r="B473" s="1"/>
      <c r="C473" s="64"/>
      <c r="D473" s="64"/>
      <c r="E473" s="64"/>
      <c r="F473" s="64"/>
      <c r="G473" s="64"/>
      <c r="H473" s="64"/>
      <c r="I473" s="32"/>
    </row>
    <row r="474" spans="1:9" ht="12.75">
      <c r="A474" s="32"/>
      <c r="B474" s="1"/>
      <c r="C474" s="64"/>
      <c r="D474" s="64"/>
      <c r="E474" s="64"/>
      <c r="F474" s="64"/>
      <c r="G474" s="64"/>
      <c r="H474" s="64"/>
      <c r="I474" s="32"/>
    </row>
    <row r="475" spans="1:9" ht="12.75">
      <c r="A475" s="32"/>
      <c r="B475" s="1"/>
      <c r="C475" s="64"/>
      <c r="D475" s="64"/>
      <c r="E475" s="64"/>
      <c r="F475" s="64"/>
      <c r="G475" s="64"/>
      <c r="H475" s="64"/>
      <c r="I475" s="32"/>
    </row>
    <row r="476" spans="1:9" ht="12.75">
      <c r="A476" s="32"/>
      <c r="B476" s="1"/>
      <c r="C476" s="64"/>
      <c r="D476" s="64"/>
      <c r="E476" s="64"/>
      <c r="F476" s="64"/>
      <c r="G476" s="64"/>
      <c r="H476" s="64"/>
      <c r="I476" s="32"/>
    </row>
    <row r="477" spans="1:9" ht="12.75">
      <c r="A477" s="32"/>
      <c r="B477" s="1"/>
      <c r="C477" s="64"/>
      <c r="D477" s="64"/>
      <c r="E477" s="64"/>
      <c r="F477" s="64"/>
      <c r="G477" s="64"/>
      <c r="H477" s="64"/>
      <c r="I477" s="32"/>
    </row>
    <row r="478" spans="1:9" ht="12.75">
      <c r="A478" s="32"/>
      <c r="B478" s="1"/>
      <c r="C478" s="64"/>
      <c r="D478" s="64"/>
      <c r="E478" s="64"/>
      <c r="F478" s="64"/>
      <c r="G478" s="64"/>
      <c r="H478" s="64"/>
      <c r="I478" s="32"/>
    </row>
    <row r="479" spans="1:9" ht="12.75">
      <c r="A479" s="32"/>
      <c r="B479" s="1"/>
      <c r="C479" s="64"/>
      <c r="D479" s="64"/>
      <c r="E479" s="64"/>
      <c r="F479" s="64"/>
      <c r="G479" s="64"/>
      <c r="H479" s="64"/>
      <c r="I479" s="32"/>
    </row>
    <row r="480" spans="1:9" ht="12.75">
      <c r="A480" s="32"/>
      <c r="B480" s="1"/>
      <c r="C480" s="64"/>
      <c r="D480" s="64"/>
      <c r="E480" s="64"/>
      <c r="F480" s="64"/>
      <c r="G480" s="64"/>
      <c r="H480" s="64"/>
      <c r="I480" s="32"/>
    </row>
    <row r="481" spans="1:9" ht="12.75">
      <c r="A481" s="32"/>
      <c r="B481" s="1"/>
      <c r="C481" s="64"/>
      <c r="D481" s="64"/>
      <c r="E481" s="64"/>
      <c r="F481" s="64"/>
      <c r="G481" s="64"/>
      <c r="H481" s="64"/>
      <c r="I481" s="32"/>
    </row>
    <row r="482" spans="1:9" ht="12.75">
      <c r="A482" s="32"/>
      <c r="B482" s="1"/>
      <c r="C482" s="64"/>
      <c r="D482" s="64"/>
      <c r="E482" s="64"/>
      <c r="F482" s="64"/>
      <c r="G482" s="64"/>
      <c r="H482" s="64"/>
      <c r="I482" s="32"/>
    </row>
    <row r="483" spans="1:9" ht="12.75">
      <c r="A483" s="32"/>
      <c r="B483" s="1"/>
      <c r="C483" s="64"/>
      <c r="D483" s="64"/>
      <c r="E483" s="64"/>
      <c r="F483" s="64"/>
      <c r="G483" s="64"/>
      <c r="H483" s="64"/>
      <c r="I483" s="32"/>
    </row>
    <row r="484" spans="1:9" ht="12.75">
      <c r="A484" s="32"/>
      <c r="B484" s="1"/>
      <c r="C484" s="64"/>
      <c r="D484" s="64"/>
      <c r="E484" s="64"/>
      <c r="F484" s="64"/>
      <c r="G484" s="64"/>
      <c r="H484" s="64"/>
      <c r="I484" s="32"/>
    </row>
    <row r="485" spans="1:9" ht="12.75">
      <c r="A485" s="32"/>
      <c r="B485" s="1"/>
      <c r="C485" s="64"/>
      <c r="D485" s="64"/>
      <c r="E485" s="64"/>
      <c r="F485" s="64"/>
      <c r="G485" s="64"/>
      <c r="H485" s="64"/>
      <c r="I485" s="32"/>
    </row>
    <row r="486" spans="1:9" ht="12.75">
      <c r="A486" s="32"/>
      <c r="B486" s="1"/>
      <c r="C486" s="64"/>
      <c r="D486" s="64"/>
      <c r="E486" s="64"/>
      <c r="F486" s="64"/>
      <c r="G486" s="64"/>
      <c r="H486" s="64"/>
      <c r="I486" s="32"/>
    </row>
    <row r="487" spans="1:9" ht="12.75">
      <c r="A487" s="32"/>
      <c r="B487" s="1"/>
      <c r="C487" s="64"/>
      <c r="D487" s="64"/>
      <c r="E487" s="64"/>
      <c r="F487" s="64"/>
      <c r="G487" s="64"/>
      <c r="H487" s="64"/>
      <c r="I487" s="32"/>
    </row>
    <row r="488" spans="1:9" ht="12.75">
      <c r="A488" s="32"/>
      <c r="B488" s="1"/>
      <c r="C488" s="64"/>
      <c r="D488" s="64"/>
      <c r="E488" s="64"/>
      <c r="F488" s="64"/>
      <c r="G488" s="64"/>
      <c r="H488" s="64"/>
      <c r="I488" s="32"/>
    </row>
    <row r="489" spans="1:9" ht="12.75">
      <c r="A489" s="32"/>
      <c r="B489" s="1"/>
      <c r="C489" s="64"/>
      <c r="D489" s="64"/>
      <c r="E489" s="64"/>
      <c r="F489" s="64"/>
      <c r="G489" s="64"/>
      <c r="H489" s="64"/>
      <c r="I489" s="32"/>
    </row>
    <row r="490" spans="1:9" ht="12.75">
      <c r="A490" s="32"/>
      <c r="B490" s="1"/>
      <c r="C490" s="64"/>
      <c r="D490" s="64"/>
      <c r="E490" s="64"/>
      <c r="F490" s="64"/>
      <c r="G490" s="64"/>
      <c r="H490" s="64"/>
      <c r="I490" s="32"/>
    </row>
    <row r="491" spans="1:9" ht="12.75">
      <c r="A491" s="32"/>
      <c r="B491" s="1"/>
      <c r="C491" s="64"/>
      <c r="D491" s="64"/>
      <c r="E491" s="64"/>
      <c r="F491" s="64"/>
      <c r="G491" s="64"/>
      <c r="H491" s="64"/>
      <c r="I491" s="32"/>
    </row>
    <row r="492" spans="1:9" ht="12.75">
      <c r="A492" s="32"/>
      <c r="B492" s="1"/>
      <c r="C492" s="64"/>
      <c r="D492" s="64"/>
      <c r="E492" s="64"/>
      <c r="F492" s="64"/>
      <c r="G492" s="64"/>
      <c r="H492" s="64"/>
      <c r="I492" s="32"/>
    </row>
    <row r="493" spans="1:9" ht="12.75">
      <c r="A493" s="32"/>
      <c r="B493" s="1"/>
      <c r="C493" s="64"/>
      <c r="D493" s="64"/>
      <c r="E493" s="64"/>
      <c r="F493" s="64"/>
      <c r="G493" s="64"/>
      <c r="H493" s="64"/>
      <c r="I493" s="32"/>
    </row>
    <row r="494" spans="1:9" ht="12.75">
      <c r="A494" s="32"/>
      <c r="B494" s="1"/>
      <c r="C494" s="64"/>
      <c r="D494" s="64"/>
      <c r="E494" s="64"/>
      <c r="F494" s="64"/>
      <c r="G494" s="64"/>
      <c r="H494" s="64"/>
      <c r="I494" s="32"/>
    </row>
    <row r="495" spans="1:9" ht="12.75">
      <c r="A495" s="32"/>
      <c r="B495" s="1"/>
      <c r="C495" s="64"/>
      <c r="D495" s="64"/>
      <c r="E495" s="64"/>
      <c r="F495" s="64"/>
      <c r="G495" s="64"/>
      <c r="H495" s="64"/>
      <c r="I495" s="32"/>
    </row>
    <row r="496" spans="1:9" ht="12.75">
      <c r="A496" s="32"/>
      <c r="B496" s="1"/>
      <c r="C496" s="64"/>
      <c r="D496" s="64"/>
      <c r="E496" s="64"/>
      <c r="F496" s="64"/>
      <c r="G496" s="64"/>
      <c r="H496" s="64"/>
      <c r="I496" s="32"/>
    </row>
    <row r="497" spans="1:9" ht="12.75">
      <c r="A497" s="32"/>
      <c r="B497" s="1"/>
      <c r="C497" s="64"/>
      <c r="D497" s="64"/>
      <c r="E497" s="64"/>
      <c r="F497" s="64"/>
      <c r="G497" s="64"/>
      <c r="H497" s="64"/>
      <c r="I497" s="32"/>
    </row>
    <row r="498" spans="1:9" ht="12.75">
      <c r="A498" s="32"/>
      <c r="B498" s="1"/>
      <c r="C498" s="64"/>
      <c r="D498" s="64"/>
      <c r="E498" s="64"/>
      <c r="F498" s="64"/>
      <c r="G498" s="64"/>
      <c r="H498" s="64"/>
      <c r="I498" s="32"/>
    </row>
    <row r="499" spans="1:9" ht="12.75">
      <c r="A499" s="32"/>
      <c r="B499" s="1"/>
      <c r="C499" s="64"/>
      <c r="D499" s="64"/>
      <c r="E499" s="64"/>
      <c r="F499" s="64"/>
      <c r="G499" s="64"/>
      <c r="H499" s="64"/>
      <c r="I499" s="32"/>
    </row>
    <row r="500" spans="1:9" ht="12.75">
      <c r="A500" s="32"/>
      <c r="B500" s="1"/>
      <c r="C500" s="64"/>
      <c r="D500" s="64"/>
      <c r="E500" s="64"/>
      <c r="F500" s="64"/>
      <c r="G500" s="64"/>
      <c r="H500" s="64"/>
      <c r="I500" s="32"/>
    </row>
    <row r="501" spans="1:9" ht="12.75">
      <c r="A501" s="32"/>
      <c r="B501" s="1"/>
      <c r="C501" s="64"/>
      <c r="D501" s="64"/>
      <c r="E501" s="64"/>
      <c r="F501" s="64"/>
      <c r="G501" s="64"/>
      <c r="H501" s="64"/>
      <c r="I501" s="32"/>
    </row>
    <row r="502" spans="1:9" ht="12.75">
      <c r="A502" s="32"/>
      <c r="B502" s="1"/>
      <c r="C502" s="64"/>
      <c r="D502" s="64"/>
      <c r="E502" s="64"/>
      <c r="F502" s="64"/>
      <c r="G502" s="64"/>
      <c r="H502" s="64"/>
      <c r="I502" s="32"/>
    </row>
    <row r="503" spans="1:9" ht="12.75">
      <c r="A503" s="32"/>
      <c r="B503" s="1"/>
      <c r="C503" s="64"/>
      <c r="D503" s="64"/>
      <c r="E503" s="64"/>
      <c r="F503" s="64"/>
      <c r="G503" s="64"/>
      <c r="H503" s="64"/>
      <c r="I503" s="32"/>
    </row>
    <row r="504" spans="1:9" ht="12.75">
      <c r="A504" s="32"/>
      <c r="B504" s="1"/>
      <c r="C504" s="64"/>
      <c r="D504" s="64"/>
      <c r="E504" s="64"/>
      <c r="F504" s="64"/>
      <c r="G504" s="64"/>
      <c r="H504" s="64"/>
      <c r="I504" s="32"/>
    </row>
    <row r="505" spans="1:9" ht="12.75">
      <c r="A505" s="32"/>
      <c r="B505" s="1"/>
      <c r="C505" s="64"/>
      <c r="D505" s="64"/>
      <c r="E505" s="64"/>
      <c r="F505" s="64"/>
      <c r="G505" s="64"/>
      <c r="H505" s="64"/>
      <c r="I505" s="32"/>
    </row>
    <row r="506" spans="1:9" ht="12.75">
      <c r="A506" s="32"/>
      <c r="B506" s="1"/>
      <c r="C506" s="64"/>
      <c r="D506" s="64"/>
      <c r="E506" s="64"/>
      <c r="F506" s="64"/>
      <c r="G506" s="64"/>
      <c r="H506" s="64"/>
      <c r="I506" s="32"/>
    </row>
    <row r="507" spans="1:9" ht="12.75">
      <c r="A507" s="32"/>
      <c r="B507" s="1"/>
      <c r="C507" s="64"/>
      <c r="D507" s="64"/>
      <c r="E507" s="64"/>
      <c r="F507" s="64"/>
      <c r="G507" s="64"/>
      <c r="H507" s="64"/>
      <c r="I507" s="32"/>
    </row>
    <row r="508" spans="1:9" ht="12.75">
      <c r="A508" s="32"/>
      <c r="B508" s="1"/>
      <c r="C508" s="64"/>
      <c r="D508" s="64"/>
      <c r="E508" s="64"/>
      <c r="F508" s="64"/>
      <c r="G508" s="64"/>
      <c r="H508" s="64"/>
      <c r="I508" s="32"/>
    </row>
    <row r="509" spans="1:9" ht="12.75">
      <c r="A509" s="32"/>
      <c r="B509" s="1"/>
      <c r="C509" s="64"/>
      <c r="D509" s="64"/>
      <c r="E509" s="64"/>
      <c r="F509" s="64"/>
      <c r="G509" s="64"/>
      <c r="H509" s="64"/>
      <c r="I509" s="32"/>
    </row>
    <row r="510" spans="1:9" ht="12.75">
      <c r="A510" s="32"/>
      <c r="B510" s="1"/>
      <c r="C510" s="64"/>
      <c r="D510" s="64"/>
      <c r="E510" s="64"/>
      <c r="F510" s="64"/>
      <c r="G510" s="64"/>
      <c r="H510" s="64"/>
      <c r="I510" s="32"/>
    </row>
    <row r="511" spans="1:9" ht="12.75">
      <c r="A511" s="32"/>
      <c r="B511" s="1"/>
      <c r="C511" s="64"/>
      <c r="D511" s="64"/>
      <c r="E511" s="64"/>
      <c r="F511" s="64"/>
      <c r="G511" s="64"/>
      <c r="H511" s="64"/>
      <c r="I511" s="32"/>
    </row>
    <row r="512" spans="1:9" ht="12.75">
      <c r="A512" s="32"/>
      <c r="B512" s="1"/>
      <c r="C512" s="64"/>
      <c r="D512" s="64"/>
      <c r="E512" s="64"/>
      <c r="F512" s="64"/>
      <c r="G512" s="64"/>
      <c r="H512" s="64"/>
      <c r="I512" s="32"/>
    </row>
    <row r="513" spans="1:9" ht="12.75">
      <c r="A513" s="32"/>
      <c r="B513" s="1"/>
      <c r="C513" s="64"/>
      <c r="D513" s="64"/>
      <c r="E513" s="64"/>
      <c r="F513" s="64"/>
      <c r="G513" s="64"/>
      <c r="H513" s="64"/>
      <c r="I513" s="32"/>
    </row>
    <row r="514" spans="1:9" ht="12.75">
      <c r="A514" s="32"/>
      <c r="B514" s="1"/>
      <c r="C514" s="64"/>
      <c r="D514" s="64"/>
      <c r="E514" s="64"/>
      <c r="F514" s="64"/>
      <c r="G514" s="64"/>
      <c r="H514" s="64"/>
      <c r="I514" s="32"/>
    </row>
    <row r="515" spans="1:9" ht="12.75">
      <c r="A515" s="32"/>
      <c r="B515" s="1"/>
      <c r="C515" s="64"/>
      <c r="D515" s="64"/>
      <c r="E515" s="64"/>
      <c r="F515" s="64"/>
      <c r="G515" s="64"/>
      <c r="H515" s="64"/>
      <c r="I515" s="32"/>
    </row>
    <row r="516" spans="1:9" ht="12.75">
      <c r="A516" s="32"/>
      <c r="B516" s="1"/>
      <c r="C516" s="64"/>
      <c r="D516" s="64"/>
      <c r="E516" s="64"/>
      <c r="F516" s="64"/>
      <c r="G516" s="64"/>
      <c r="H516" s="64"/>
      <c r="I516" s="32"/>
    </row>
    <row r="517" spans="1:9" ht="12.75">
      <c r="A517" s="32"/>
      <c r="B517" s="1"/>
      <c r="C517" s="64"/>
      <c r="D517" s="64"/>
      <c r="E517" s="64"/>
      <c r="F517" s="64"/>
      <c r="G517" s="64"/>
      <c r="H517" s="64"/>
      <c r="I517" s="32"/>
    </row>
    <row r="518" spans="1:9" ht="12.75">
      <c r="A518" s="32"/>
      <c r="B518" s="1"/>
      <c r="C518" s="64"/>
      <c r="D518" s="64"/>
      <c r="E518" s="64"/>
      <c r="F518" s="64"/>
      <c r="G518" s="64"/>
      <c r="H518" s="64"/>
      <c r="I518" s="32"/>
    </row>
    <row r="519" spans="1:9" ht="12.75">
      <c r="A519" s="32"/>
      <c r="B519" s="1"/>
      <c r="C519" s="64"/>
      <c r="D519" s="64"/>
      <c r="E519" s="64"/>
      <c r="F519" s="64"/>
      <c r="G519" s="64"/>
      <c r="H519" s="64"/>
      <c r="I519" s="32"/>
    </row>
    <row r="520" spans="1:9" ht="12.75">
      <c r="A520" s="32"/>
      <c r="B520" s="1"/>
      <c r="C520" s="64"/>
      <c r="D520" s="64"/>
      <c r="E520" s="64"/>
      <c r="F520" s="64"/>
      <c r="G520" s="64"/>
      <c r="H520" s="64"/>
      <c r="I520" s="32"/>
    </row>
    <row r="521" spans="1:9" ht="12.75">
      <c r="A521" s="32"/>
      <c r="B521" s="1"/>
      <c r="C521" s="64"/>
      <c r="D521" s="64"/>
      <c r="E521" s="64"/>
      <c r="F521" s="64"/>
      <c r="G521" s="64"/>
      <c r="H521" s="64"/>
      <c r="I521" s="32"/>
    </row>
    <row r="522" spans="1:9" ht="12.75">
      <c r="A522" s="32"/>
      <c r="B522" s="1"/>
      <c r="C522" s="64"/>
      <c r="D522" s="64"/>
      <c r="E522" s="64"/>
      <c r="F522" s="64"/>
      <c r="G522" s="64"/>
      <c r="H522" s="64"/>
      <c r="I522" s="32"/>
    </row>
    <row r="523" spans="1:9" ht="12.75">
      <c r="A523" s="32"/>
      <c r="B523" s="1"/>
      <c r="C523" s="64"/>
      <c r="D523" s="64"/>
      <c r="E523" s="64"/>
      <c r="F523" s="64"/>
      <c r="G523" s="64"/>
      <c r="H523" s="64"/>
      <c r="I523" s="32"/>
    </row>
    <row r="524" spans="1:9" ht="12.75">
      <c r="A524" s="32"/>
      <c r="B524" s="1"/>
      <c r="C524" s="64"/>
      <c r="D524" s="64"/>
      <c r="E524" s="64"/>
      <c r="F524" s="64"/>
      <c r="G524" s="64"/>
      <c r="H524" s="64"/>
      <c r="I524" s="32"/>
    </row>
    <row r="525" spans="1:9" ht="12.75">
      <c r="A525" s="32"/>
      <c r="B525" s="1"/>
      <c r="C525" s="64"/>
      <c r="D525" s="64"/>
      <c r="E525" s="64"/>
      <c r="F525" s="64"/>
      <c r="G525" s="64"/>
      <c r="H525" s="64"/>
      <c r="I525" s="32"/>
    </row>
    <row r="526" spans="1:9" ht="12.75">
      <c r="A526" s="32"/>
      <c r="B526" s="1"/>
      <c r="C526" s="64"/>
      <c r="D526" s="64"/>
      <c r="E526" s="64"/>
      <c r="F526" s="64"/>
      <c r="G526" s="64"/>
      <c r="H526" s="64"/>
      <c r="I526" s="32"/>
    </row>
    <row r="527" spans="1:9" ht="12.75">
      <c r="A527" s="32"/>
      <c r="B527" s="1"/>
      <c r="C527" s="64"/>
      <c r="D527" s="64"/>
      <c r="E527" s="64"/>
      <c r="F527" s="64"/>
      <c r="G527" s="64"/>
      <c r="H527" s="64"/>
      <c r="I527" s="32"/>
    </row>
    <row r="528" spans="1:9" ht="12.75">
      <c r="A528" s="32"/>
      <c r="B528" s="1"/>
      <c r="C528" s="64"/>
      <c r="D528" s="64"/>
      <c r="E528" s="64"/>
      <c r="F528" s="64"/>
      <c r="G528" s="64"/>
      <c r="H528" s="64"/>
      <c r="I528" s="32"/>
    </row>
    <row r="529" spans="1:9" ht="12.75">
      <c r="A529" s="32"/>
      <c r="B529" s="1"/>
      <c r="C529" s="64"/>
      <c r="D529" s="64"/>
      <c r="E529" s="64"/>
      <c r="F529" s="64"/>
      <c r="G529" s="64"/>
      <c r="H529" s="64"/>
      <c r="I529" s="32"/>
    </row>
    <row r="530" spans="1:9" ht="12.75">
      <c r="A530" s="32"/>
      <c r="B530" s="1"/>
      <c r="C530" s="64"/>
      <c r="D530" s="64"/>
      <c r="E530" s="64"/>
      <c r="F530" s="64"/>
      <c r="G530" s="64"/>
      <c r="H530" s="64"/>
      <c r="I530" s="32"/>
    </row>
    <row r="531" spans="1:9" ht="12.75">
      <c r="A531" s="32"/>
      <c r="B531" s="1"/>
      <c r="C531" s="64"/>
      <c r="D531" s="64"/>
      <c r="E531" s="64"/>
      <c r="F531" s="64"/>
      <c r="G531" s="64"/>
      <c r="H531" s="64"/>
      <c r="I531" s="32"/>
    </row>
    <row r="532" spans="1:9" ht="12.75">
      <c r="A532" s="32"/>
      <c r="B532" s="1"/>
      <c r="C532" s="64"/>
      <c r="D532" s="64"/>
      <c r="E532" s="64"/>
      <c r="F532" s="64"/>
      <c r="G532" s="64"/>
      <c r="H532" s="64"/>
      <c r="I532" s="32"/>
    </row>
    <row r="533" spans="1:9" ht="12.75">
      <c r="A533" s="32"/>
      <c r="B533" s="1"/>
      <c r="C533" s="64"/>
      <c r="D533" s="64"/>
      <c r="E533" s="64"/>
      <c r="F533" s="64"/>
      <c r="G533" s="64"/>
      <c r="H533" s="64"/>
      <c r="I533" s="32"/>
    </row>
    <row r="534" spans="1:9" ht="12.75">
      <c r="A534" s="32"/>
      <c r="B534" s="1"/>
      <c r="C534" s="64"/>
      <c r="D534" s="64"/>
      <c r="E534" s="64"/>
      <c r="F534" s="64"/>
      <c r="G534" s="64"/>
      <c r="H534" s="64"/>
      <c r="I534" s="32"/>
    </row>
    <row r="535" spans="1:9" ht="12.75">
      <c r="A535" s="32"/>
      <c r="B535" s="1"/>
      <c r="C535" s="64"/>
      <c r="D535" s="64"/>
      <c r="E535" s="64"/>
      <c r="F535" s="64"/>
      <c r="G535" s="64"/>
      <c r="H535" s="64"/>
      <c r="I535" s="32"/>
    </row>
    <row r="536" spans="1:9" ht="12.75">
      <c r="A536" s="32"/>
      <c r="B536" s="1"/>
      <c r="C536" s="64"/>
      <c r="D536" s="64"/>
      <c r="E536" s="64"/>
      <c r="F536" s="64"/>
      <c r="G536" s="64"/>
      <c r="H536" s="64"/>
      <c r="I536" s="32"/>
    </row>
    <row r="537" spans="1:9" ht="12.75">
      <c r="A537" s="32"/>
      <c r="B537" s="1"/>
      <c r="C537" s="64"/>
      <c r="D537" s="64"/>
      <c r="E537" s="64"/>
      <c r="F537" s="64"/>
      <c r="G537" s="64"/>
      <c r="H537" s="64"/>
      <c r="I537" s="32"/>
    </row>
    <row r="538" spans="1:9" ht="12.75">
      <c r="A538" s="32"/>
      <c r="B538" s="1"/>
      <c r="C538" s="64"/>
      <c r="D538" s="64"/>
      <c r="E538" s="64"/>
      <c r="F538" s="64"/>
      <c r="G538" s="64"/>
      <c r="H538" s="64"/>
      <c r="I538" s="32"/>
    </row>
    <row r="539" spans="1:9" ht="12.75">
      <c r="A539" s="32"/>
      <c r="B539" s="1"/>
      <c r="C539" s="64"/>
      <c r="D539" s="64"/>
      <c r="E539" s="64"/>
      <c r="F539" s="64"/>
      <c r="G539" s="64"/>
      <c r="H539" s="64"/>
      <c r="I539" s="32"/>
    </row>
    <row r="540" spans="1:9" ht="12.75">
      <c r="A540" s="32"/>
      <c r="B540" s="1"/>
      <c r="C540" s="64"/>
      <c r="D540" s="64"/>
      <c r="E540" s="64"/>
      <c r="F540" s="64"/>
      <c r="G540" s="64"/>
      <c r="H540" s="64"/>
      <c r="I540" s="32"/>
    </row>
    <row r="541" spans="1:9" ht="12.75">
      <c r="A541" s="32"/>
      <c r="B541" s="1"/>
      <c r="C541" s="64"/>
      <c r="D541" s="64"/>
      <c r="E541" s="64"/>
      <c r="F541" s="64"/>
      <c r="G541" s="64"/>
      <c r="H541" s="64"/>
      <c r="I541" s="32"/>
    </row>
    <row r="542" spans="1:9" ht="12.75">
      <c r="A542" s="32"/>
      <c r="B542" s="1"/>
      <c r="C542" s="64"/>
      <c r="D542" s="64"/>
      <c r="E542" s="64"/>
      <c r="F542" s="64"/>
      <c r="G542" s="64"/>
      <c r="H542" s="64"/>
      <c r="I542" s="32"/>
    </row>
    <row r="543" spans="1:9" ht="12.75">
      <c r="A543" s="32"/>
      <c r="B543" s="1"/>
      <c r="C543" s="64"/>
      <c r="D543" s="64"/>
      <c r="E543" s="64"/>
      <c r="F543" s="64"/>
      <c r="G543" s="64"/>
      <c r="H543" s="64"/>
      <c r="I543" s="32"/>
    </row>
    <row r="544" spans="1:9" ht="12.75">
      <c r="A544" s="32"/>
      <c r="B544" s="1"/>
      <c r="C544" s="64"/>
      <c r="D544" s="64"/>
      <c r="E544" s="64"/>
      <c r="F544" s="64"/>
      <c r="G544" s="64"/>
      <c r="H544" s="64"/>
      <c r="I544" s="32"/>
    </row>
    <row r="545" spans="1:9" ht="12.75">
      <c r="A545" s="32"/>
      <c r="B545" s="1"/>
      <c r="C545" s="64"/>
      <c r="D545" s="64"/>
      <c r="E545" s="64"/>
      <c r="F545" s="64"/>
      <c r="G545" s="64"/>
      <c r="H545" s="64"/>
      <c r="I545" s="32"/>
    </row>
    <row r="546" spans="1:9" ht="12.75">
      <c r="A546" s="32"/>
      <c r="B546" s="1"/>
      <c r="C546" s="64"/>
      <c r="D546" s="64"/>
      <c r="E546" s="64"/>
      <c r="F546" s="64"/>
      <c r="G546" s="64"/>
      <c r="H546" s="64"/>
      <c r="I546" s="32"/>
    </row>
    <row r="547" spans="1:9" ht="12.75">
      <c r="A547" s="32"/>
      <c r="B547" s="1"/>
      <c r="C547" s="64"/>
      <c r="D547" s="64"/>
      <c r="E547" s="64"/>
      <c r="F547" s="64"/>
      <c r="G547" s="64"/>
      <c r="H547" s="64"/>
      <c r="I547" s="32"/>
    </row>
    <row r="548" spans="1:9" ht="12.75">
      <c r="A548" s="32"/>
      <c r="B548" s="1"/>
      <c r="C548" s="64"/>
      <c r="D548" s="64"/>
      <c r="E548" s="64"/>
      <c r="F548" s="64"/>
      <c r="G548" s="64"/>
      <c r="H548" s="64"/>
      <c r="I548" s="32"/>
    </row>
    <row r="549" spans="1:9" ht="12.75">
      <c r="A549" s="32"/>
      <c r="B549" s="1"/>
      <c r="C549" s="64"/>
      <c r="D549" s="64"/>
      <c r="E549" s="64"/>
      <c r="F549" s="64"/>
      <c r="G549" s="64"/>
      <c r="H549" s="64"/>
      <c r="I549" s="32"/>
    </row>
    <row r="550" spans="1:9" ht="12.75">
      <c r="A550" s="32"/>
      <c r="B550" s="1"/>
      <c r="C550" s="64"/>
      <c r="D550" s="64"/>
      <c r="E550" s="64"/>
      <c r="F550" s="64"/>
      <c r="G550" s="64"/>
      <c r="H550" s="64"/>
      <c r="I550" s="32"/>
    </row>
    <row r="551" spans="1:9" ht="12.75">
      <c r="A551" s="32"/>
      <c r="B551" s="1"/>
      <c r="C551" s="64"/>
      <c r="D551" s="64"/>
      <c r="E551" s="64"/>
      <c r="F551" s="64"/>
      <c r="G551" s="64"/>
      <c r="H551" s="64"/>
      <c r="I551" s="32"/>
    </row>
    <row r="552" spans="1:9" ht="12.75">
      <c r="A552" s="32"/>
      <c r="B552" s="1"/>
      <c r="C552" s="64"/>
      <c r="D552" s="64"/>
      <c r="E552" s="64"/>
      <c r="F552" s="64"/>
      <c r="G552" s="64"/>
      <c r="H552" s="64"/>
      <c r="I552" s="32"/>
    </row>
    <row r="553" spans="1:9" ht="12.75">
      <c r="A553" s="32"/>
      <c r="B553" s="1"/>
      <c r="C553" s="64"/>
      <c r="D553" s="64"/>
      <c r="E553" s="64"/>
      <c r="F553" s="64"/>
      <c r="G553" s="64"/>
      <c r="H553" s="64"/>
      <c r="I553" s="32"/>
    </row>
    <row r="554" spans="1:9" ht="12.75">
      <c r="A554" s="32"/>
      <c r="B554" s="1"/>
      <c r="C554" s="64"/>
      <c r="D554" s="64"/>
      <c r="E554" s="64"/>
      <c r="F554" s="64"/>
      <c r="G554" s="64"/>
      <c r="H554" s="64"/>
      <c r="I554" s="32"/>
    </row>
    <row r="555" spans="1:9" ht="12.75">
      <c r="A555" s="32"/>
      <c r="B555" s="1"/>
      <c r="C555" s="64"/>
      <c r="D555" s="64"/>
      <c r="E555" s="64"/>
      <c r="F555" s="64"/>
      <c r="G555" s="64"/>
      <c r="H555" s="64"/>
      <c r="I555" s="32"/>
    </row>
    <row r="556" spans="1:9" ht="12.75">
      <c r="A556" s="32"/>
      <c r="B556" s="1"/>
      <c r="C556" s="64"/>
      <c r="D556" s="64"/>
      <c r="E556" s="64"/>
      <c r="F556" s="64"/>
      <c r="G556" s="64"/>
      <c r="H556" s="64"/>
      <c r="I556" s="32"/>
    </row>
    <row r="557" spans="1:9" ht="12.75">
      <c r="A557" s="32"/>
      <c r="B557" s="1"/>
      <c r="C557" s="64"/>
      <c r="D557" s="64"/>
      <c r="E557" s="64"/>
      <c r="F557" s="64"/>
      <c r="G557" s="64"/>
      <c r="H557" s="64"/>
      <c r="I557" s="32"/>
    </row>
    <row r="558" spans="1:9" ht="12.75">
      <c r="A558" s="32"/>
      <c r="B558" s="1"/>
      <c r="C558" s="64"/>
      <c r="D558" s="64"/>
      <c r="E558" s="64"/>
      <c r="F558" s="64"/>
      <c r="G558" s="64"/>
      <c r="H558" s="64"/>
      <c r="I558" s="32"/>
    </row>
    <row r="559" spans="1:9" ht="12.75">
      <c r="A559" s="32"/>
      <c r="B559" s="1"/>
      <c r="C559" s="64"/>
      <c r="D559" s="64"/>
      <c r="E559" s="64"/>
      <c r="F559" s="64"/>
      <c r="G559" s="64"/>
      <c r="H559" s="64"/>
      <c r="I559" s="32"/>
    </row>
    <row r="560" spans="1:9" ht="12.75">
      <c r="A560" s="32"/>
      <c r="B560" s="1"/>
      <c r="C560" s="64"/>
      <c r="D560" s="64"/>
      <c r="E560" s="64"/>
      <c r="F560" s="64"/>
      <c r="G560" s="64"/>
      <c r="H560" s="64"/>
      <c r="I560" s="32"/>
    </row>
    <row r="561" spans="1:9" ht="12.75">
      <c r="A561" s="32"/>
      <c r="B561" s="1"/>
      <c r="C561" s="64"/>
      <c r="D561" s="64"/>
      <c r="E561" s="64"/>
      <c r="F561" s="64"/>
      <c r="G561" s="64"/>
      <c r="H561" s="64"/>
      <c r="I561" s="32"/>
    </row>
    <row r="562" spans="1:9" ht="12.75">
      <c r="A562" s="32"/>
      <c r="B562" s="1"/>
      <c r="C562" s="64"/>
      <c r="D562" s="64"/>
      <c r="E562" s="64"/>
      <c r="F562" s="64"/>
      <c r="G562" s="64"/>
      <c r="H562" s="64"/>
      <c r="I562" s="32"/>
    </row>
    <row r="563" spans="1:9" ht="12.75">
      <c r="A563" s="32"/>
      <c r="B563" s="1"/>
      <c r="C563" s="64"/>
      <c r="D563" s="64"/>
      <c r="E563" s="64"/>
      <c r="F563" s="64"/>
      <c r="G563" s="64"/>
      <c r="H563" s="64"/>
      <c r="I563" s="32"/>
    </row>
    <row r="564" spans="1:9" ht="12.75">
      <c r="A564" s="32"/>
      <c r="B564" s="1"/>
      <c r="C564" s="64"/>
      <c r="D564" s="64"/>
      <c r="E564" s="64"/>
      <c r="F564" s="64"/>
      <c r="G564" s="64"/>
      <c r="H564" s="64"/>
      <c r="I564" s="32"/>
    </row>
    <row r="565" spans="1:9" ht="12.75">
      <c r="A565" s="32"/>
      <c r="B565" s="1"/>
      <c r="C565" s="64"/>
      <c r="D565" s="64"/>
      <c r="E565" s="64"/>
      <c r="F565" s="64"/>
      <c r="G565" s="64"/>
      <c r="H565" s="64"/>
      <c r="I565" s="32"/>
    </row>
    <row r="566" spans="1:9" ht="12.75">
      <c r="A566" s="32"/>
      <c r="B566" s="1"/>
      <c r="C566" s="64"/>
      <c r="D566" s="64"/>
      <c r="E566" s="64"/>
      <c r="F566" s="64"/>
      <c r="G566" s="64"/>
      <c r="H566" s="64"/>
      <c r="I566" s="32"/>
    </row>
    <row r="567" spans="1:9" ht="12.75">
      <c r="A567" s="32"/>
      <c r="B567" s="1"/>
      <c r="C567" s="64"/>
      <c r="D567" s="64"/>
      <c r="E567" s="64"/>
      <c r="F567" s="64"/>
      <c r="G567" s="64"/>
      <c r="H567" s="64"/>
      <c r="I567" s="32"/>
    </row>
    <row r="568" spans="1:9" ht="12.75">
      <c r="A568" s="32"/>
      <c r="B568" s="1"/>
      <c r="C568" s="64"/>
      <c r="D568" s="64"/>
      <c r="E568" s="64"/>
      <c r="F568" s="64"/>
      <c r="G568" s="64"/>
      <c r="H568" s="64"/>
      <c r="I568" s="32"/>
    </row>
    <row r="569" spans="1:9" ht="12.75">
      <c r="A569" s="32"/>
      <c r="B569" s="1"/>
      <c r="C569" s="64"/>
      <c r="D569" s="64"/>
      <c r="E569" s="64"/>
      <c r="F569" s="64"/>
      <c r="G569" s="64"/>
      <c r="H569" s="64"/>
      <c r="I569" s="32"/>
    </row>
    <row r="570" spans="1:9" ht="12.75">
      <c r="A570" s="32"/>
      <c r="B570" s="1"/>
      <c r="C570" s="64"/>
      <c r="D570" s="64"/>
      <c r="E570" s="64"/>
      <c r="F570" s="64"/>
      <c r="G570" s="64"/>
      <c r="H570" s="64"/>
      <c r="I570" s="32"/>
    </row>
    <row r="571" spans="1:9" ht="12.75">
      <c r="A571" s="32"/>
      <c r="B571" s="1"/>
      <c r="C571" s="64"/>
      <c r="D571" s="64"/>
      <c r="E571" s="64"/>
      <c r="F571" s="64"/>
      <c r="G571" s="64"/>
      <c r="H571" s="64"/>
      <c r="I571" s="32"/>
    </row>
    <row r="572" spans="1:9" ht="12.75">
      <c r="A572" s="32"/>
      <c r="B572" s="1"/>
      <c r="C572" s="64"/>
      <c r="D572" s="64"/>
      <c r="E572" s="64"/>
      <c r="F572" s="64"/>
      <c r="G572" s="64"/>
      <c r="H572" s="64"/>
      <c r="I572" s="32"/>
    </row>
    <row r="573" spans="1:9" ht="12.75">
      <c r="A573" s="32"/>
      <c r="B573" s="1"/>
      <c r="C573" s="64"/>
      <c r="D573" s="64"/>
      <c r="E573" s="64"/>
      <c r="F573" s="64"/>
      <c r="G573" s="64"/>
      <c r="H573" s="64"/>
      <c r="I573" s="32"/>
    </row>
    <row r="574" spans="1:9" ht="12.75">
      <c r="A574" s="32"/>
      <c r="B574" s="1"/>
      <c r="C574" s="64"/>
      <c r="D574" s="64"/>
      <c r="E574" s="64"/>
      <c r="F574" s="64"/>
      <c r="G574" s="64"/>
      <c r="H574" s="64"/>
      <c r="I574" s="32"/>
    </row>
    <row r="575" spans="1:9" ht="12.75">
      <c r="A575" s="32"/>
      <c r="B575" s="1"/>
      <c r="C575" s="64"/>
      <c r="D575" s="64"/>
      <c r="E575" s="64"/>
      <c r="F575" s="64"/>
      <c r="G575" s="64"/>
      <c r="H575" s="64"/>
      <c r="I575" s="32"/>
    </row>
    <row r="576" spans="1:9" ht="12.75">
      <c r="A576" s="32"/>
      <c r="B576" s="1"/>
      <c r="C576" s="64"/>
      <c r="D576" s="64"/>
      <c r="E576" s="64"/>
      <c r="F576" s="64"/>
      <c r="G576" s="64"/>
      <c r="H576" s="64"/>
      <c r="I576" s="32"/>
    </row>
    <row r="577" spans="1:9" ht="12.75">
      <c r="A577" s="32"/>
      <c r="B577" s="1"/>
      <c r="C577" s="64"/>
      <c r="D577" s="64"/>
      <c r="E577" s="64"/>
      <c r="F577" s="64"/>
      <c r="G577" s="64"/>
      <c r="H577" s="64"/>
      <c r="I577" s="32"/>
    </row>
    <row r="578" spans="1:9" ht="12.75">
      <c r="A578" s="32"/>
      <c r="B578" s="1"/>
      <c r="C578" s="64"/>
      <c r="D578" s="64"/>
      <c r="E578" s="64"/>
      <c r="F578" s="64"/>
      <c r="G578" s="64"/>
      <c r="H578" s="64"/>
      <c r="I578" s="32"/>
    </row>
    <row r="579" spans="1:9" ht="12.75">
      <c r="A579" s="32"/>
      <c r="B579" s="1"/>
      <c r="C579" s="64"/>
      <c r="D579" s="64"/>
      <c r="E579" s="64"/>
      <c r="F579" s="64"/>
      <c r="G579" s="64"/>
      <c r="H579" s="64"/>
      <c r="I579" s="32"/>
    </row>
    <row r="580" spans="1:9" ht="12.75">
      <c r="A580" s="32"/>
      <c r="B580" s="1"/>
      <c r="C580" s="64"/>
      <c r="D580" s="64"/>
      <c r="E580" s="64"/>
      <c r="F580" s="64"/>
      <c r="G580" s="64"/>
      <c r="H580" s="64"/>
      <c r="I580" s="32"/>
    </row>
    <row r="581" spans="1:9" ht="12.75">
      <c r="A581" s="32"/>
      <c r="B581" s="1"/>
      <c r="C581" s="64"/>
      <c r="D581" s="64"/>
      <c r="E581" s="64"/>
      <c r="F581" s="64"/>
      <c r="G581" s="64"/>
      <c r="H581" s="64"/>
      <c r="I581" s="32"/>
    </row>
    <row r="582" spans="1:9" ht="12.75">
      <c r="A582" s="32"/>
      <c r="B582" s="1"/>
      <c r="C582" s="64"/>
      <c r="D582" s="64"/>
      <c r="E582" s="64"/>
      <c r="F582" s="64"/>
      <c r="G582" s="64"/>
      <c r="H582" s="64"/>
      <c r="I582" s="32"/>
    </row>
    <row r="583" spans="1:9" ht="12.75">
      <c r="A583" s="32"/>
      <c r="B583" s="1"/>
      <c r="C583" s="64"/>
      <c r="D583" s="64"/>
      <c r="E583" s="64"/>
      <c r="F583" s="64"/>
      <c r="G583" s="64"/>
      <c r="H583" s="64"/>
      <c r="I583" s="32"/>
    </row>
    <row r="584" spans="1:9" ht="12.75">
      <c r="A584" s="32"/>
      <c r="B584" s="1"/>
      <c r="C584" s="64"/>
      <c r="D584" s="64"/>
      <c r="E584" s="64"/>
      <c r="F584" s="64"/>
      <c r="G584" s="64"/>
      <c r="H584" s="64"/>
      <c r="I584" s="32"/>
    </row>
    <row r="585" spans="1:9" ht="12.75">
      <c r="A585" s="32"/>
      <c r="B585" s="1"/>
      <c r="C585" s="64"/>
      <c r="D585" s="64"/>
      <c r="E585" s="64"/>
      <c r="F585" s="64"/>
      <c r="G585" s="64"/>
      <c r="H585" s="64"/>
      <c r="I585" s="32"/>
    </row>
    <row r="586" spans="1:9" ht="12.75">
      <c r="A586" s="32"/>
      <c r="B586" s="1"/>
      <c r="C586" s="64"/>
      <c r="D586" s="64"/>
      <c r="E586" s="64"/>
      <c r="F586" s="64"/>
      <c r="G586" s="64"/>
      <c r="H586" s="64"/>
      <c r="I586" s="32"/>
    </row>
    <row r="587" spans="1:9" ht="12.75">
      <c r="A587" s="32"/>
      <c r="B587" s="1"/>
      <c r="C587" s="64"/>
      <c r="D587" s="64"/>
      <c r="E587" s="64"/>
      <c r="F587" s="64"/>
      <c r="G587" s="64"/>
      <c r="H587" s="64"/>
      <c r="I587" s="32"/>
    </row>
    <row r="588" spans="1:9" ht="12.75">
      <c r="A588" s="32"/>
      <c r="B588" s="1"/>
      <c r="C588" s="64"/>
      <c r="D588" s="64"/>
      <c r="E588" s="64"/>
      <c r="F588" s="64"/>
      <c r="G588" s="64"/>
      <c r="H588" s="64"/>
      <c r="I588" s="32"/>
    </row>
    <row r="589" spans="1:9" ht="12.75">
      <c r="A589" s="32"/>
      <c r="B589" s="1"/>
      <c r="C589" s="64"/>
      <c r="D589" s="64"/>
      <c r="E589" s="64"/>
      <c r="F589" s="64"/>
      <c r="G589" s="64"/>
      <c r="H589" s="64"/>
      <c r="I589" s="32"/>
    </row>
    <row r="590" spans="1:9" ht="12.75">
      <c r="A590" s="32"/>
      <c r="B590" s="1"/>
      <c r="C590" s="64"/>
      <c r="D590" s="64"/>
      <c r="E590" s="64"/>
      <c r="F590" s="64"/>
      <c r="G590" s="64"/>
      <c r="H590" s="64"/>
      <c r="I590" s="32"/>
    </row>
    <row r="591" spans="1:9" ht="12.75">
      <c r="A591" s="32"/>
      <c r="B591" s="1"/>
      <c r="C591" s="64"/>
      <c r="D591" s="64"/>
      <c r="E591" s="64"/>
      <c r="F591" s="64"/>
      <c r="G591" s="64"/>
      <c r="H591" s="64"/>
      <c r="I591" s="32"/>
    </row>
    <row r="592" spans="1:9" ht="12.75">
      <c r="A592" s="32"/>
      <c r="B592" s="1"/>
      <c r="C592" s="64"/>
      <c r="D592" s="64"/>
      <c r="E592" s="64"/>
      <c r="F592" s="64"/>
      <c r="G592" s="64"/>
      <c r="H592" s="64"/>
      <c r="I592" s="32"/>
    </row>
    <row r="593" spans="1:9" ht="12.75">
      <c r="A593" s="32"/>
      <c r="B593" s="1"/>
      <c r="C593" s="64"/>
      <c r="D593" s="64"/>
      <c r="E593" s="64"/>
      <c r="F593" s="64"/>
      <c r="G593" s="64"/>
      <c r="H593" s="64"/>
      <c r="I593" s="32"/>
    </row>
    <row r="594" spans="1:9" ht="12.75">
      <c r="A594" s="32"/>
      <c r="B594" s="1"/>
      <c r="C594" s="64"/>
      <c r="D594" s="64"/>
      <c r="E594" s="64"/>
      <c r="F594" s="64"/>
      <c r="G594" s="64"/>
      <c r="H594" s="64"/>
      <c r="I594" s="32"/>
    </row>
    <row r="595" spans="1:9" ht="12.75">
      <c r="A595" s="32"/>
      <c r="B595" s="1"/>
      <c r="C595" s="64"/>
      <c r="D595" s="64"/>
      <c r="E595" s="64"/>
      <c r="F595" s="64"/>
      <c r="G595" s="64"/>
      <c r="H595" s="64"/>
      <c r="I595" s="32"/>
    </row>
    <row r="596" spans="1:9" ht="12.75">
      <c r="A596" s="32"/>
      <c r="B596" s="1"/>
      <c r="C596" s="64"/>
      <c r="D596" s="64"/>
      <c r="E596" s="64"/>
      <c r="F596" s="64"/>
      <c r="G596" s="64"/>
      <c r="H596" s="64"/>
      <c r="I596" s="32"/>
    </row>
    <row r="597" spans="1:9" ht="12.75">
      <c r="A597" s="32"/>
      <c r="B597" s="1"/>
      <c r="C597" s="64"/>
      <c r="D597" s="64"/>
      <c r="E597" s="64"/>
      <c r="F597" s="64"/>
      <c r="G597" s="64"/>
      <c r="H597" s="64"/>
      <c r="I597" s="32"/>
    </row>
    <row r="598" spans="1:9" ht="12.75">
      <c r="A598" s="32"/>
      <c r="B598" s="1"/>
      <c r="C598" s="64"/>
      <c r="D598" s="64"/>
      <c r="E598" s="64"/>
      <c r="F598" s="64"/>
      <c r="G598" s="64"/>
      <c r="H598" s="64"/>
      <c r="I598" s="32"/>
    </row>
    <row r="599" spans="1:9" ht="12.75">
      <c r="A599" s="32"/>
      <c r="B599" s="1"/>
      <c r="C599" s="64"/>
      <c r="D599" s="64"/>
      <c r="E599" s="64"/>
      <c r="F599" s="64"/>
      <c r="G599" s="64"/>
      <c r="H599" s="64"/>
      <c r="I599" s="32"/>
    </row>
    <row r="600" spans="1:9" ht="12.75">
      <c r="A600" s="32"/>
      <c r="B600" s="1"/>
      <c r="C600" s="64"/>
      <c r="D600" s="64"/>
      <c r="E600" s="64"/>
      <c r="F600" s="64"/>
      <c r="G600" s="64"/>
      <c r="H600" s="64"/>
      <c r="I600" s="32"/>
    </row>
    <row r="601" spans="1:9" ht="12.75">
      <c r="A601" s="32"/>
      <c r="B601" s="1"/>
      <c r="C601" s="64"/>
      <c r="D601" s="64"/>
      <c r="E601" s="64"/>
      <c r="F601" s="64"/>
      <c r="G601" s="64"/>
      <c r="H601" s="64"/>
      <c r="I601" s="32"/>
    </row>
    <row r="602" spans="1:9" ht="12.75">
      <c r="A602" s="32"/>
      <c r="B602" s="1"/>
      <c r="C602" s="64"/>
      <c r="D602" s="64"/>
      <c r="E602" s="64"/>
      <c r="F602" s="64"/>
      <c r="G602" s="64"/>
      <c r="H602" s="64"/>
      <c r="I602" s="32"/>
    </row>
    <row r="603" spans="1:9" ht="12.75">
      <c r="A603" s="32"/>
      <c r="B603" s="1"/>
      <c r="C603" s="64"/>
      <c r="D603" s="64"/>
      <c r="E603" s="64"/>
      <c r="F603" s="64"/>
      <c r="G603" s="64"/>
      <c r="H603" s="64"/>
      <c r="I603" s="32"/>
    </row>
    <row r="604" spans="1:9" ht="12.75">
      <c r="A604" s="32"/>
      <c r="B604" s="1"/>
      <c r="C604" s="64"/>
      <c r="D604" s="64"/>
      <c r="E604" s="64"/>
      <c r="F604" s="64"/>
      <c r="G604" s="64"/>
      <c r="H604" s="64"/>
      <c r="I604" s="32"/>
    </row>
    <row r="605" spans="1:9" ht="12.75">
      <c r="A605" s="32"/>
      <c r="B605" s="1"/>
      <c r="C605" s="64"/>
      <c r="D605" s="64"/>
      <c r="E605" s="64"/>
      <c r="F605" s="64"/>
      <c r="G605" s="64"/>
      <c r="H605" s="64"/>
      <c r="I605" s="32"/>
    </row>
    <row r="606" spans="1:9" ht="12.75">
      <c r="A606" s="32"/>
      <c r="B606" s="1"/>
      <c r="C606" s="64"/>
      <c r="D606" s="64"/>
      <c r="E606" s="64"/>
      <c r="F606" s="64"/>
      <c r="G606" s="64"/>
      <c r="H606" s="64"/>
      <c r="I606" s="32"/>
    </row>
    <row r="607" spans="1:9" ht="12.75">
      <c r="A607" s="32"/>
      <c r="B607" s="1"/>
      <c r="C607" s="64"/>
      <c r="D607" s="64"/>
      <c r="E607" s="64"/>
      <c r="F607" s="64"/>
      <c r="G607" s="64"/>
      <c r="H607" s="64"/>
      <c r="I607" s="32"/>
    </row>
    <row r="608" spans="1:9" ht="12.75">
      <c r="A608" s="32"/>
      <c r="B608" s="1"/>
      <c r="C608" s="64"/>
      <c r="D608" s="64"/>
      <c r="E608" s="64"/>
      <c r="F608" s="64"/>
      <c r="G608" s="64"/>
      <c r="H608" s="64"/>
      <c r="I608" s="32"/>
    </row>
    <row r="609" spans="1:9" ht="12.75">
      <c r="A609" s="32"/>
      <c r="B609" s="1"/>
      <c r="C609" s="64"/>
      <c r="D609" s="64"/>
      <c r="E609" s="64"/>
      <c r="F609" s="64"/>
      <c r="G609" s="64"/>
      <c r="H609" s="64"/>
      <c r="I609" s="32"/>
    </row>
    <row r="610" spans="1:9" ht="12.75">
      <c r="A610" s="32"/>
      <c r="B610" s="1"/>
      <c r="C610" s="64"/>
      <c r="D610" s="64"/>
      <c r="E610" s="64"/>
      <c r="F610" s="64"/>
      <c r="G610" s="64"/>
      <c r="H610" s="64"/>
      <c r="I610" s="32"/>
    </row>
    <row r="611" spans="1:9" ht="12.75">
      <c r="A611" s="32"/>
      <c r="B611" s="1"/>
      <c r="C611" s="64"/>
      <c r="D611" s="64"/>
      <c r="E611" s="64"/>
      <c r="F611" s="64"/>
      <c r="G611" s="64"/>
      <c r="H611" s="64"/>
      <c r="I611" s="32"/>
    </row>
    <row r="612" spans="1:9" ht="12.75">
      <c r="A612" s="32"/>
      <c r="B612" s="1"/>
      <c r="C612" s="64"/>
      <c r="D612" s="64"/>
      <c r="E612" s="64"/>
      <c r="F612" s="64"/>
      <c r="G612" s="64"/>
      <c r="H612" s="64"/>
      <c r="I612" s="32"/>
    </row>
    <row r="613" spans="1:9" ht="12.75">
      <c r="A613" s="32"/>
      <c r="B613" s="1"/>
      <c r="C613" s="64"/>
      <c r="D613" s="64"/>
      <c r="E613" s="64"/>
      <c r="F613" s="64"/>
      <c r="G613" s="64"/>
      <c r="H613" s="64"/>
      <c r="I613" s="32"/>
    </row>
    <row r="614" spans="1:9" ht="12.75">
      <c r="A614" s="32"/>
      <c r="B614" s="1"/>
      <c r="C614" s="64"/>
      <c r="D614" s="64"/>
      <c r="E614" s="64"/>
      <c r="F614" s="64"/>
      <c r="G614" s="64"/>
      <c r="H614" s="64"/>
      <c r="I614" s="32"/>
    </row>
    <row r="615" spans="1:9" ht="12.75">
      <c r="A615" s="32"/>
      <c r="B615" s="1"/>
      <c r="C615" s="64"/>
      <c r="D615" s="64"/>
      <c r="E615" s="64"/>
      <c r="F615" s="64"/>
      <c r="G615" s="64"/>
      <c r="H615" s="64"/>
      <c r="I615" s="32"/>
    </row>
    <row r="616" spans="1:9" ht="12.75">
      <c r="A616" s="32"/>
      <c r="B616" s="1"/>
      <c r="C616" s="64"/>
      <c r="D616" s="64"/>
      <c r="E616" s="64"/>
      <c r="F616" s="64"/>
      <c r="G616" s="64"/>
      <c r="H616" s="64"/>
      <c r="I616" s="32"/>
    </row>
    <row r="617" spans="1:9" ht="12.75">
      <c r="A617" s="32"/>
      <c r="B617" s="1"/>
      <c r="C617" s="64"/>
      <c r="D617" s="64"/>
      <c r="E617" s="64"/>
      <c r="F617" s="64"/>
      <c r="G617" s="64"/>
      <c r="H617" s="64"/>
      <c r="I617" s="32"/>
    </row>
    <row r="618" spans="1:9" ht="12.75">
      <c r="A618" s="32"/>
      <c r="B618" s="1"/>
      <c r="C618" s="64"/>
      <c r="D618" s="64"/>
      <c r="E618" s="64"/>
      <c r="F618" s="64"/>
      <c r="G618" s="64"/>
      <c r="H618" s="64"/>
      <c r="I618" s="32"/>
    </row>
    <row r="619" spans="1:9" ht="12.75">
      <c r="A619" s="32"/>
      <c r="B619" s="1"/>
      <c r="C619" s="64"/>
      <c r="D619" s="64"/>
      <c r="E619" s="64"/>
      <c r="F619" s="64"/>
      <c r="G619" s="64"/>
      <c r="H619" s="64"/>
      <c r="I619" s="32"/>
    </row>
    <row r="620" spans="1:9" ht="12.75">
      <c r="A620" s="32"/>
      <c r="B620" s="1"/>
      <c r="C620" s="64"/>
      <c r="D620" s="64"/>
      <c r="E620" s="64"/>
      <c r="F620" s="64"/>
      <c r="G620" s="64"/>
      <c r="H620" s="64"/>
      <c r="I620" s="32"/>
    </row>
    <row r="621" spans="1:9" ht="12.75">
      <c r="A621" s="32"/>
      <c r="B621" s="1"/>
      <c r="C621" s="64"/>
      <c r="D621" s="64"/>
      <c r="E621" s="64"/>
      <c r="F621" s="64"/>
      <c r="G621" s="64"/>
      <c r="H621" s="64"/>
      <c r="I621" s="32"/>
    </row>
    <row r="622" spans="1:9" ht="12.75">
      <c r="A622" s="32"/>
      <c r="B622" s="1"/>
      <c r="C622" s="64"/>
      <c r="D622" s="64"/>
      <c r="E622" s="64"/>
      <c r="F622" s="64"/>
      <c r="G622" s="64"/>
      <c r="H622" s="64"/>
      <c r="I622" s="32"/>
    </row>
    <row r="623" spans="1:9" ht="12.75">
      <c r="A623" s="32"/>
      <c r="B623" s="1"/>
      <c r="C623" s="64"/>
      <c r="D623" s="64"/>
      <c r="E623" s="64"/>
      <c r="F623" s="64"/>
      <c r="G623" s="64"/>
      <c r="H623" s="64"/>
      <c r="I623" s="32"/>
    </row>
    <row r="624" spans="1:9" ht="12.75">
      <c r="A624" s="32"/>
      <c r="B624" s="1"/>
      <c r="C624" s="64"/>
      <c r="D624" s="64"/>
      <c r="E624" s="64"/>
      <c r="F624" s="64"/>
      <c r="G624" s="64"/>
      <c r="H624" s="64"/>
      <c r="I624" s="32"/>
    </row>
    <row r="625" spans="1:9" ht="12.75">
      <c r="A625" s="32"/>
      <c r="B625" s="1"/>
      <c r="C625" s="64"/>
      <c r="D625" s="64"/>
      <c r="E625" s="64"/>
      <c r="F625" s="64"/>
      <c r="G625" s="64"/>
      <c r="H625" s="64"/>
      <c r="I625" s="32"/>
    </row>
    <row r="626" spans="1:9" ht="12.75">
      <c r="A626" s="32"/>
      <c r="B626" s="1"/>
      <c r="C626" s="64"/>
      <c r="D626" s="64"/>
      <c r="E626" s="64"/>
      <c r="F626" s="64"/>
      <c r="G626" s="64"/>
      <c r="H626" s="64"/>
      <c r="I626" s="32"/>
    </row>
    <row r="627" spans="1:9" ht="12.75">
      <c r="A627" s="32"/>
      <c r="B627" s="1"/>
      <c r="C627" s="64"/>
      <c r="D627" s="64"/>
      <c r="E627" s="64"/>
      <c r="F627" s="64"/>
      <c r="G627" s="64"/>
      <c r="H627" s="64"/>
      <c r="I627" s="32"/>
    </row>
    <row r="628" spans="1:9" ht="12.75">
      <c r="A628" s="32"/>
      <c r="B628" s="1"/>
      <c r="C628" s="64"/>
      <c r="D628" s="64"/>
      <c r="E628" s="64"/>
      <c r="F628" s="64"/>
      <c r="G628" s="64"/>
      <c r="H628" s="64"/>
      <c r="I628" s="32"/>
    </row>
    <row r="629" spans="1:9" ht="12.75">
      <c r="A629" s="32"/>
      <c r="B629" s="1"/>
      <c r="C629" s="64"/>
      <c r="D629" s="64"/>
      <c r="E629" s="64"/>
      <c r="F629" s="64"/>
      <c r="G629" s="64"/>
      <c r="H629" s="64"/>
      <c r="I629" s="32"/>
    </row>
    <row r="630" spans="1:9" ht="12.75">
      <c r="A630" s="32"/>
      <c r="B630" s="1"/>
      <c r="C630" s="64"/>
      <c r="D630" s="64"/>
      <c r="E630" s="64"/>
      <c r="F630" s="64"/>
      <c r="G630" s="64"/>
      <c r="H630" s="64"/>
      <c r="I630" s="32"/>
    </row>
    <row r="631" spans="1:9" ht="12.75">
      <c r="A631" s="32"/>
      <c r="B631" s="1"/>
      <c r="C631" s="64"/>
      <c r="D631" s="64"/>
      <c r="E631" s="64"/>
      <c r="F631" s="64"/>
      <c r="G631" s="64"/>
      <c r="H631" s="64"/>
      <c r="I631" s="32"/>
    </row>
    <row r="632" spans="1:9" ht="12.75">
      <c r="A632" s="32"/>
      <c r="B632" s="1"/>
      <c r="C632" s="64"/>
      <c r="D632" s="64"/>
      <c r="E632" s="64"/>
      <c r="F632" s="64"/>
      <c r="G632" s="64"/>
      <c r="H632" s="64"/>
      <c r="I632" s="32"/>
    </row>
    <row r="633" spans="1:9" ht="12.75">
      <c r="A633" s="32"/>
      <c r="B633" s="1"/>
      <c r="C633" s="64"/>
      <c r="D633" s="64"/>
      <c r="E633" s="64"/>
      <c r="F633" s="64"/>
      <c r="G633" s="64"/>
      <c r="H633" s="64"/>
      <c r="I633" s="32"/>
    </row>
    <row r="634" spans="1:9" ht="12.75">
      <c r="A634" s="32"/>
      <c r="B634" s="1"/>
      <c r="C634" s="64"/>
      <c r="D634" s="64"/>
      <c r="E634" s="64"/>
      <c r="F634" s="64"/>
      <c r="G634" s="64"/>
      <c r="H634" s="64"/>
      <c r="I634" s="32"/>
    </row>
    <row r="635" spans="1:9" ht="12.75">
      <c r="A635" s="32"/>
      <c r="B635" s="1"/>
      <c r="C635" s="64"/>
      <c r="D635" s="64"/>
      <c r="E635" s="64"/>
      <c r="F635" s="64"/>
      <c r="G635" s="64"/>
      <c r="H635" s="64"/>
      <c r="I635" s="32"/>
    </row>
    <row r="636" spans="1:9" ht="12.75">
      <c r="A636" s="32"/>
      <c r="B636" s="1"/>
      <c r="C636" s="64"/>
      <c r="D636" s="64"/>
      <c r="E636" s="64"/>
      <c r="F636" s="64"/>
      <c r="G636" s="64"/>
      <c r="H636" s="64"/>
      <c r="I636" s="32"/>
    </row>
    <row r="637" spans="1:9" ht="12.75">
      <c r="A637" s="32"/>
      <c r="B637" s="1"/>
      <c r="C637" s="64"/>
      <c r="D637" s="64"/>
      <c r="E637" s="64"/>
      <c r="F637" s="64"/>
      <c r="G637" s="64"/>
      <c r="H637" s="64"/>
      <c r="I637" s="32"/>
    </row>
    <row r="638" spans="1:9" ht="12.75">
      <c r="A638" s="32"/>
      <c r="B638" s="1"/>
      <c r="C638" s="64"/>
      <c r="D638" s="64"/>
      <c r="E638" s="64"/>
      <c r="F638" s="64"/>
      <c r="G638" s="64"/>
      <c r="H638" s="64"/>
      <c r="I638" s="32"/>
    </row>
    <row r="639" spans="1:9" ht="12.75">
      <c r="A639" s="32"/>
      <c r="B639" s="1"/>
      <c r="C639" s="64"/>
      <c r="D639" s="64"/>
      <c r="E639" s="64"/>
      <c r="F639" s="64"/>
      <c r="G639" s="64"/>
      <c r="H639" s="64"/>
      <c r="I639" s="32"/>
    </row>
    <row r="640" spans="1:9" ht="12.75">
      <c r="A640" s="32"/>
      <c r="B640" s="1"/>
      <c r="C640" s="64"/>
      <c r="D640" s="64"/>
      <c r="E640" s="64"/>
      <c r="F640" s="64"/>
      <c r="G640" s="64"/>
      <c r="H640" s="64"/>
      <c r="I640" s="32"/>
    </row>
    <row r="641" spans="1:9" ht="12.75">
      <c r="A641" s="32"/>
      <c r="B641" s="1"/>
      <c r="C641" s="64"/>
      <c r="D641" s="64"/>
      <c r="E641" s="64"/>
      <c r="F641" s="64"/>
      <c r="G641" s="64"/>
      <c r="H641" s="64"/>
      <c r="I641" s="32"/>
    </row>
    <row r="642" spans="1:9" ht="12.75">
      <c r="A642" s="32"/>
      <c r="B642" s="1"/>
      <c r="C642" s="64"/>
      <c r="D642" s="64"/>
      <c r="E642" s="64"/>
      <c r="F642" s="64"/>
      <c r="G642" s="64"/>
      <c r="H642" s="64"/>
      <c r="I642" s="32"/>
    </row>
    <row r="643" spans="1:9" ht="12.75">
      <c r="A643" s="32"/>
      <c r="B643" s="1"/>
      <c r="C643" s="64"/>
      <c r="D643" s="64"/>
      <c r="E643" s="64"/>
      <c r="F643" s="64"/>
      <c r="G643" s="64"/>
      <c r="H643" s="64"/>
      <c r="I643" s="32"/>
    </row>
    <row r="644" spans="1:9" ht="12.75">
      <c r="A644" s="32"/>
      <c r="B644" s="1"/>
      <c r="C644" s="64"/>
      <c r="D644" s="64"/>
      <c r="E644" s="64"/>
      <c r="F644" s="64"/>
      <c r="G644" s="64"/>
      <c r="H644" s="64"/>
      <c r="I644" s="32"/>
    </row>
    <row r="645" spans="1:9" ht="12.75">
      <c r="A645" s="32"/>
      <c r="B645" s="1"/>
      <c r="C645" s="64"/>
      <c r="D645" s="64"/>
      <c r="E645" s="64"/>
      <c r="F645" s="64"/>
      <c r="G645" s="64"/>
      <c r="H645" s="64"/>
      <c r="I645" s="32"/>
    </row>
    <row r="646" spans="1:9" ht="12.75">
      <c r="A646" s="32"/>
      <c r="B646" s="1"/>
      <c r="C646" s="64"/>
      <c r="D646" s="64"/>
      <c r="E646" s="64"/>
      <c r="F646" s="64"/>
      <c r="G646" s="64"/>
      <c r="H646" s="64"/>
      <c r="I646" s="32"/>
    </row>
    <row r="647" spans="1:9" ht="12.75">
      <c r="A647" s="32"/>
      <c r="B647" s="1"/>
      <c r="C647" s="64"/>
      <c r="D647" s="64"/>
      <c r="E647" s="64"/>
      <c r="F647" s="64"/>
      <c r="G647" s="64"/>
      <c r="H647" s="64"/>
      <c r="I647" s="32"/>
    </row>
    <row r="648" spans="1:9" ht="12.75">
      <c r="A648" s="32"/>
      <c r="B648" s="1"/>
      <c r="C648" s="64"/>
      <c r="D648" s="64"/>
      <c r="E648" s="64"/>
      <c r="F648" s="64"/>
      <c r="G648" s="64"/>
      <c r="H648" s="64"/>
      <c r="I648" s="32"/>
    </row>
    <row r="649" spans="1:9" ht="12.75">
      <c r="A649" s="32"/>
      <c r="B649" s="1"/>
      <c r="C649" s="64"/>
      <c r="D649" s="64"/>
      <c r="E649" s="64"/>
      <c r="F649" s="64"/>
      <c r="G649" s="64"/>
      <c r="H649" s="64"/>
      <c r="I649" s="32"/>
    </row>
    <row r="650" spans="1:9" ht="12.75">
      <c r="A650" s="32"/>
      <c r="B650" s="1"/>
      <c r="C650" s="64"/>
      <c r="D650" s="64"/>
      <c r="E650" s="64"/>
      <c r="F650" s="64"/>
      <c r="G650" s="64"/>
      <c r="H650" s="64"/>
      <c r="I650" s="32"/>
    </row>
    <row r="651" spans="1:9" ht="12.75">
      <c r="A651" s="32"/>
      <c r="B651" s="1"/>
      <c r="C651" s="64"/>
      <c r="D651" s="64"/>
      <c r="E651" s="64"/>
      <c r="F651" s="64"/>
      <c r="G651" s="64"/>
      <c r="H651" s="64"/>
      <c r="I651" s="32"/>
    </row>
    <row r="652" spans="1:9" ht="12.75">
      <c r="A652" s="32"/>
      <c r="B652" s="1"/>
      <c r="C652" s="64"/>
      <c r="D652" s="64"/>
      <c r="E652" s="64"/>
      <c r="F652" s="64"/>
      <c r="G652" s="64"/>
      <c r="H652" s="64"/>
      <c r="I652" s="32"/>
    </row>
    <row r="653" spans="1:9" ht="12.75">
      <c r="A653" s="32"/>
      <c r="B653" s="1"/>
      <c r="C653" s="64"/>
      <c r="D653" s="64"/>
      <c r="E653" s="64"/>
      <c r="F653" s="64"/>
      <c r="G653" s="64"/>
      <c r="H653" s="64"/>
      <c r="I653" s="32"/>
    </row>
    <row r="654" spans="1:9" ht="12.75">
      <c r="A654" s="32"/>
      <c r="B654" s="1"/>
      <c r="C654" s="64"/>
      <c r="D654" s="64"/>
      <c r="E654" s="64"/>
      <c r="F654" s="64"/>
      <c r="G654" s="64"/>
      <c r="H654" s="64"/>
      <c r="I654" s="32"/>
    </row>
    <row r="655" spans="1:9" ht="12.75">
      <c r="A655" s="32"/>
      <c r="B655" s="1"/>
      <c r="C655" s="64"/>
      <c r="D655" s="64"/>
      <c r="E655" s="64"/>
      <c r="F655" s="64"/>
      <c r="G655" s="64"/>
      <c r="H655" s="64"/>
      <c r="I655" s="32"/>
    </row>
    <row r="656" spans="1:9" ht="12.75">
      <c r="A656" s="32"/>
      <c r="B656" s="1"/>
      <c r="C656" s="64"/>
      <c r="D656" s="64"/>
      <c r="E656" s="64"/>
      <c r="F656" s="64"/>
      <c r="G656" s="64"/>
      <c r="H656" s="64"/>
      <c r="I656" s="32"/>
    </row>
    <row r="657" spans="1:9" ht="12.75">
      <c r="A657" s="32"/>
      <c r="B657" s="1"/>
      <c r="C657" s="64"/>
      <c r="D657" s="64"/>
      <c r="E657" s="64"/>
      <c r="F657" s="64"/>
      <c r="G657" s="64"/>
      <c r="H657" s="64"/>
      <c r="I657" s="32"/>
    </row>
    <row r="658" spans="1:9" ht="12.75">
      <c r="A658" s="32"/>
      <c r="B658" s="1"/>
      <c r="C658" s="64"/>
      <c r="D658" s="64"/>
      <c r="E658" s="64"/>
      <c r="F658" s="64"/>
      <c r="G658" s="64"/>
      <c r="H658" s="64"/>
      <c r="I658" s="32"/>
    </row>
    <row r="659" spans="1:9" ht="12.75">
      <c r="A659" s="32"/>
      <c r="B659" s="1"/>
      <c r="C659" s="64"/>
      <c r="D659" s="64"/>
      <c r="E659" s="64"/>
      <c r="F659" s="64"/>
      <c r="G659" s="64"/>
      <c r="H659" s="64"/>
      <c r="I659" s="32"/>
    </row>
    <row r="660" spans="1:9" ht="12.75">
      <c r="A660" s="32"/>
      <c r="B660" s="1"/>
      <c r="C660" s="64"/>
      <c r="D660" s="64"/>
      <c r="E660" s="64"/>
      <c r="F660" s="64"/>
      <c r="G660" s="64"/>
      <c r="H660" s="64"/>
      <c r="I660" s="32"/>
    </row>
    <row r="661" spans="1:9" ht="12.75">
      <c r="A661" s="32"/>
      <c r="B661" s="1"/>
      <c r="C661" s="64"/>
      <c r="D661" s="64"/>
      <c r="E661" s="64"/>
      <c r="F661" s="64"/>
      <c r="G661" s="64"/>
      <c r="H661" s="64"/>
      <c r="I661" s="32"/>
    </row>
    <row r="662" spans="1:9" ht="12.75">
      <c r="A662" s="32"/>
      <c r="B662" s="1"/>
      <c r="C662" s="64"/>
      <c r="D662" s="64"/>
      <c r="E662" s="64"/>
      <c r="F662" s="64"/>
      <c r="G662" s="64"/>
      <c r="H662" s="64"/>
      <c r="I662" s="32"/>
    </row>
    <row r="663" spans="1:9" ht="12.75">
      <c r="A663" s="32"/>
      <c r="B663" s="1"/>
      <c r="C663" s="64"/>
      <c r="D663" s="64"/>
      <c r="E663" s="64"/>
      <c r="F663" s="64"/>
      <c r="G663" s="64"/>
      <c r="H663" s="64"/>
      <c r="I663" s="32"/>
    </row>
    <row r="664" spans="1:9" ht="12.75">
      <c r="A664" s="32"/>
      <c r="B664" s="1"/>
      <c r="C664" s="64"/>
      <c r="D664" s="64"/>
      <c r="E664" s="64"/>
      <c r="F664" s="64"/>
      <c r="G664" s="64"/>
      <c r="H664" s="64"/>
      <c r="I664" s="32"/>
    </row>
    <row r="665" spans="1:9" ht="12.75">
      <c r="A665" s="32"/>
      <c r="B665" s="1"/>
      <c r="C665" s="64"/>
      <c r="D665" s="64"/>
      <c r="E665" s="64"/>
      <c r="F665" s="64"/>
      <c r="G665" s="64"/>
      <c r="H665" s="64"/>
      <c r="I665" s="32"/>
    </row>
    <row r="666" spans="1:9" ht="12.75">
      <c r="A666" s="32"/>
      <c r="B666" s="1"/>
      <c r="C666" s="64"/>
      <c r="D666" s="64"/>
      <c r="E666" s="64"/>
      <c r="F666" s="64"/>
      <c r="G666" s="64"/>
      <c r="H666" s="64"/>
      <c r="I666" s="32"/>
    </row>
    <row r="667" spans="1:9" ht="12.75">
      <c r="A667" s="32"/>
      <c r="B667" s="1"/>
      <c r="C667" s="64"/>
      <c r="D667" s="64"/>
      <c r="E667" s="64"/>
      <c r="F667" s="64"/>
      <c r="G667" s="64"/>
      <c r="H667" s="64"/>
      <c r="I667" s="32"/>
    </row>
    <row r="668" spans="1:9" ht="12.75">
      <c r="A668" s="32"/>
      <c r="B668" s="1"/>
      <c r="C668" s="64"/>
      <c r="D668" s="64"/>
      <c r="E668" s="64"/>
      <c r="F668" s="64"/>
      <c r="G668" s="64"/>
      <c r="H668" s="64"/>
      <c r="I668" s="32"/>
    </row>
    <row r="669" spans="1:9" ht="12.75">
      <c r="A669" s="32"/>
      <c r="B669" s="1"/>
      <c r="C669" s="64"/>
      <c r="D669" s="64"/>
      <c r="E669" s="64"/>
      <c r="F669" s="64"/>
      <c r="G669" s="64"/>
      <c r="H669" s="64"/>
      <c r="I669" s="32"/>
    </row>
    <row r="670" spans="1:9" ht="12.75">
      <c r="A670" s="32"/>
      <c r="B670" s="1"/>
      <c r="C670" s="64"/>
      <c r="D670" s="64"/>
      <c r="E670" s="64"/>
      <c r="F670" s="64"/>
      <c r="G670" s="64"/>
      <c r="H670" s="64"/>
      <c r="I670" s="32"/>
    </row>
    <row r="671" spans="1:9" ht="12.75">
      <c r="A671" s="32"/>
      <c r="B671" s="1"/>
      <c r="C671" s="64"/>
      <c r="D671" s="64"/>
      <c r="E671" s="64"/>
      <c r="F671" s="64"/>
      <c r="G671" s="64"/>
      <c r="H671" s="64"/>
      <c r="I671" s="32"/>
    </row>
    <row r="672" spans="1:9" ht="12.75">
      <c r="A672" s="32"/>
      <c r="B672" s="1"/>
      <c r="C672" s="64"/>
      <c r="D672" s="64"/>
      <c r="E672" s="64"/>
      <c r="F672" s="64"/>
      <c r="G672" s="64"/>
      <c r="H672" s="64"/>
      <c r="I672" s="32"/>
    </row>
    <row r="673" spans="1:9" ht="12.75">
      <c r="A673" s="32"/>
      <c r="B673" s="1"/>
      <c r="C673" s="64"/>
      <c r="D673" s="64"/>
      <c r="E673" s="64"/>
      <c r="F673" s="64"/>
      <c r="G673" s="64"/>
      <c r="H673" s="64"/>
      <c r="I673" s="32"/>
    </row>
    <row r="674" spans="1:9" ht="12.75">
      <c r="A674" s="32"/>
      <c r="B674" s="1"/>
      <c r="C674" s="64"/>
      <c r="D674" s="64"/>
      <c r="E674" s="64"/>
      <c r="F674" s="64"/>
      <c r="G674" s="64"/>
      <c r="H674" s="64"/>
      <c r="I674" s="32"/>
    </row>
    <row r="675" spans="1:9" ht="12.75">
      <c r="A675" s="32"/>
      <c r="B675" s="1"/>
      <c r="C675" s="64"/>
      <c r="D675" s="64"/>
      <c r="E675" s="64"/>
      <c r="F675" s="64"/>
      <c r="G675" s="64"/>
      <c r="H675" s="64"/>
      <c r="I675" s="32"/>
    </row>
    <row r="676" spans="1:9" ht="12.75">
      <c r="A676" s="32"/>
      <c r="B676" s="1"/>
      <c r="C676" s="64"/>
      <c r="D676" s="64"/>
      <c r="E676" s="64"/>
      <c r="F676" s="64"/>
      <c r="G676" s="64"/>
      <c r="H676" s="64"/>
      <c r="I676" s="32"/>
    </row>
    <row r="677" spans="1:9" ht="12.75">
      <c r="A677" s="32"/>
      <c r="B677" s="1"/>
      <c r="C677" s="64"/>
      <c r="D677" s="64"/>
      <c r="E677" s="64"/>
      <c r="F677" s="64"/>
      <c r="G677" s="64"/>
      <c r="H677" s="64"/>
      <c r="I677" s="32"/>
    </row>
    <row r="678" spans="1:9" ht="12.75">
      <c r="A678" s="32"/>
      <c r="B678" s="1"/>
      <c r="C678" s="64"/>
      <c r="D678" s="64"/>
      <c r="E678" s="64"/>
      <c r="F678" s="64"/>
      <c r="G678" s="64"/>
      <c r="H678" s="64"/>
      <c r="I678" s="32"/>
    </row>
    <row r="679" spans="1:9" ht="12.75">
      <c r="A679" s="32"/>
      <c r="B679" s="1"/>
      <c r="C679" s="64"/>
      <c r="D679" s="64"/>
      <c r="E679" s="64"/>
      <c r="F679" s="64"/>
      <c r="G679" s="64"/>
      <c r="H679" s="64"/>
      <c r="I679" s="32"/>
    </row>
    <row r="680" spans="1:9" ht="12.75">
      <c r="A680" s="32"/>
      <c r="B680" s="1"/>
      <c r="C680" s="64"/>
      <c r="D680" s="64"/>
      <c r="E680" s="64"/>
      <c r="F680" s="64"/>
      <c r="G680" s="64"/>
      <c r="H680" s="64"/>
      <c r="I680" s="32"/>
    </row>
    <row r="681" spans="1:9" ht="12.75">
      <c r="A681" s="32"/>
      <c r="B681" s="1"/>
      <c r="C681" s="64"/>
      <c r="D681" s="64"/>
      <c r="E681" s="64"/>
      <c r="F681" s="64"/>
      <c r="G681" s="64"/>
      <c r="H681" s="64"/>
      <c r="I681" s="32"/>
    </row>
    <row r="682" spans="1:9" ht="12.75">
      <c r="A682" s="32"/>
      <c r="B682" s="1"/>
      <c r="C682" s="64"/>
      <c r="D682" s="64"/>
      <c r="E682" s="64"/>
      <c r="F682" s="64"/>
      <c r="G682" s="64"/>
      <c r="H682" s="64"/>
      <c r="I682" s="32"/>
    </row>
    <row r="683" spans="1:9" ht="12.75">
      <c r="A683" s="32"/>
      <c r="B683" s="1"/>
      <c r="C683" s="64"/>
      <c r="D683" s="64"/>
      <c r="E683" s="64"/>
      <c r="F683" s="64"/>
      <c r="G683" s="64"/>
      <c r="H683" s="64"/>
      <c r="I683" s="32"/>
    </row>
    <row r="684" spans="1:9" ht="12.75">
      <c r="A684" s="32"/>
      <c r="B684" s="1"/>
      <c r="C684" s="64"/>
      <c r="D684" s="64"/>
      <c r="E684" s="64"/>
      <c r="F684" s="64"/>
      <c r="G684" s="64"/>
      <c r="H684" s="64"/>
      <c r="I684" s="32"/>
    </row>
    <row r="685" spans="1:9" ht="12.75">
      <c r="A685" s="32"/>
      <c r="B685" s="1"/>
      <c r="C685" s="64"/>
      <c r="D685" s="64"/>
      <c r="E685" s="64"/>
      <c r="F685" s="64"/>
      <c r="G685" s="64"/>
      <c r="H685" s="64"/>
      <c r="I685" s="32"/>
    </row>
    <row r="686" spans="1:9" ht="12.75">
      <c r="A686" s="32"/>
      <c r="B686" s="1"/>
      <c r="C686" s="64"/>
      <c r="D686" s="64"/>
      <c r="E686" s="64"/>
      <c r="F686" s="64"/>
      <c r="G686" s="64"/>
      <c r="H686" s="64"/>
      <c r="I686" s="32"/>
    </row>
    <row r="687" spans="1:9" ht="12.75">
      <c r="A687" s="32"/>
      <c r="B687" s="1"/>
      <c r="C687" s="64"/>
      <c r="D687" s="64"/>
      <c r="E687" s="64"/>
      <c r="F687" s="64"/>
      <c r="G687" s="64"/>
      <c r="H687" s="64"/>
      <c r="I687" s="32"/>
    </row>
    <row r="688" spans="1:9" ht="12.75">
      <c r="A688" s="32"/>
      <c r="B688" s="1"/>
      <c r="C688" s="64"/>
      <c r="D688" s="64"/>
      <c r="E688" s="64"/>
      <c r="F688" s="64"/>
      <c r="G688" s="64"/>
      <c r="H688" s="64"/>
      <c r="I688" s="32"/>
    </row>
    <row r="689" spans="1:9" ht="12.75">
      <c r="A689" s="32"/>
      <c r="B689" s="1"/>
      <c r="C689" s="64"/>
      <c r="D689" s="64"/>
      <c r="E689" s="64"/>
      <c r="F689" s="64"/>
      <c r="G689" s="64"/>
      <c r="H689" s="64"/>
      <c r="I689" s="32"/>
    </row>
    <row r="690" spans="1:9" ht="12.75">
      <c r="A690" s="32"/>
      <c r="B690" s="1"/>
      <c r="C690" s="64"/>
      <c r="D690" s="64"/>
      <c r="E690" s="64"/>
      <c r="F690" s="64"/>
      <c r="G690" s="64"/>
      <c r="H690" s="64"/>
      <c r="I690" s="32"/>
    </row>
    <row r="691" spans="1:9" ht="12.75">
      <c r="A691" s="32"/>
      <c r="B691" s="1"/>
      <c r="C691" s="64"/>
      <c r="D691" s="64"/>
      <c r="E691" s="64"/>
      <c r="F691" s="64"/>
      <c r="G691" s="64"/>
      <c r="H691" s="64"/>
      <c r="I691" s="32"/>
    </row>
    <row r="692" spans="1:9" ht="12.75">
      <c r="A692" s="32"/>
      <c r="B692" s="1"/>
      <c r="C692" s="64"/>
      <c r="D692" s="64"/>
      <c r="E692" s="64"/>
      <c r="F692" s="64"/>
      <c r="G692" s="64"/>
      <c r="H692" s="64"/>
      <c r="I692" s="32"/>
    </row>
    <row r="693" spans="1:9" ht="12.75">
      <c r="A693" s="32"/>
      <c r="B693" s="1"/>
      <c r="C693" s="64"/>
      <c r="D693" s="64"/>
      <c r="E693" s="64"/>
      <c r="F693" s="64"/>
      <c r="G693" s="64"/>
      <c r="H693" s="64"/>
      <c r="I693" s="32"/>
    </row>
    <row r="694" spans="1:9" ht="12.75">
      <c r="A694" s="32"/>
      <c r="B694" s="1"/>
      <c r="C694" s="64"/>
      <c r="D694" s="64"/>
      <c r="E694" s="64"/>
      <c r="F694" s="64"/>
      <c r="G694" s="64"/>
      <c r="H694" s="64"/>
      <c r="I694" s="32"/>
    </row>
    <row r="695" spans="1:9" ht="12.75">
      <c r="A695" s="32"/>
      <c r="B695" s="1"/>
      <c r="C695" s="64"/>
      <c r="D695" s="64"/>
      <c r="E695" s="64"/>
      <c r="F695" s="64"/>
      <c r="G695" s="64"/>
      <c r="H695" s="64"/>
      <c r="I695" s="32"/>
    </row>
    <row r="696" spans="1:9" ht="12.75">
      <c r="A696" s="32"/>
      <c r="B696" s="1"/>
      <c r="C696" s="64"/>
      <c r="D696" s="64"/>
      <c r="E696" s="64"/>
      <c r="F696" s="64"/>
      <c r="G696" s="64"/>
      <c r="H696" s="64"/>
      <c r="I696" s="32"/>
    </row>
    <row r="697" spans="1:9" ht="12.75">
      <c r="A697" s="32"/>
      <c r="B697" s="1"/>
      <c r="C697" s="64"/>
      <c r="D697" s="64"/>
      <c r="E697" s="64"/>
      <c r="F697" s="64"/>
      <c r="G697" s="64"/>
      <c r="H697" s="64"/>
      <c r="I697" s="32"/>
    </row>
    <row r="698" spans="1:9" ht="12.75">
      <c r="A698" s="32"/>
      <c r="B698" s="1"/>
      <c r="C698" s="64"/>
      <c r="D698" s="64"/>
      <c r="E698" s="64"/>
      <c r="F698" s="64"/>
      <c r="G698" s="64"/>
      <c r="H698" s="64"/>
      <c r="I698" s="32"/>
    </row>
    <row r="699" spans="1:9" ht="12.75">
      <c r="A699" s="32"/>
      <c r="B699" s="1"/>
      <c r="C699" s="64"/>
      <c r="D699" s="64"/>
      <c r="E699" s="64"/>
      <c r="F699" s="64"/>
      <c r="G699" s="64"/>
      <c r="H699" s="64"/>
      <c r="I699" s="32"/>
    </row>
    <row r="700" spans="1:9" ht="12.75">
      <c r="A700" s="32"/>
      <c r="B700" s="1"/>
      <c r="C700" s="64"/>
      <c r="D700" s="64"/>
      <c r="E700" s="64"/>
      <c r="F700" s="64"/>
      <c r="G700" s="64"/>
      <c r="H700" s="64"/>
      <c r="I700" s="32"/>
    </row>
    <row r="701" spans="1:9" ht="12.75">
      <c r="A701" s="32"/>
      <c r="B701" s="1"/>
      <c r="C701" s="64"/>
      <c r="D701" s="64"/>
      <c r="E701" s="64"/>
      <c r="F701" s="64"/>
      <c r="G701" s="64"/>
      <c r="H701" s="64"/>
      <c r="I701" s="32"/>
    </row>
    <row r="702" spans="1:9" ht="12.75">
      <c r="A702" s="32"/>
      <c r="B702" s="1"/>
      <c r="C702" s="64"/>
      <c r="D702" s="64"/>
      <c r="E702" s="64"/>
      <c r="F702" s="64"/>
      <c r="G702" s="64"/>
      <c r="H702" s="64"/>
      <c r="I702" s="32"/>
    </row>
    <row r="703" spans="1:9" ht="12.75">
      <c r="A703" s="32"/>
      <c r="B703" s="1"/>
      <c r="C703" s="64"/>
      <c r="D703" s="64"/>
      <c r="E703" s="64"/>
      <c r="F703" s="64"/>
      <c r="G703" s="64"/>
      <c r="H703" s="64"/>
      <c r="I703" s="32"/>
    </row>
    <row r="704" spans="1:9" ht="12.75">
      <c r="A704" s="32"/>
      <c r="B704" s="1"/>
      <c r="C704" s="64"/>
      <c r="D704" s="64"/>
      <c r="E704" s="64"/>
      <c r="F704" s="64"/>
      <c r="G704" s="64"/>
      <c r="H704" s="64"/>
      <c r="I704" s="32"/>
    </row>
    <row r="705" spans="1:9" ht="12.75">
      <c r="A705" s="32"/>
      <c r="B705" s="1"/>
      <c r="C705" s="64"/>
      <c r="D705" s="64"/>
      <c r="E705" s="64"/>
      <c r="F705" s="64"/>
      <c r="G705" s="64"/>
      <c r="H705" s="64"/>
      <c r="I705" s="32"/>
    </row>
    <row r="706" spans="1:9" ht="12.75">
      <c r="A706" s="32"/>
      <c r="B706" s="1"/>
      <c r="C706" s="64"/>
      <c r="D706" s="64"/>
      <c r="E706" s="64"/>
      <c r="F706" s="64"/>
      <c r="G706" s="64"/>
      <c r="H706" s="64"/>
      <c r="I706" s="32"/>
    </row>
    <row r="707" spans="1:9" ht="12.75">
      <c r="A707" s="32"/>
      <c r="B707" s="1"/>
      <c r="C707" s="64"/>
      <c r="D707" s="64"/>
      <c r="E707" s="64"/>
      <c r="F707" s="64"/>
      <c r="G707" s="64"/>
      <c r="H707" s="64"/>
      <c r="I707" s="32"/>
    </row>
    <row r="708" spans="1:9" ht="12.75">
      <c r="A708" s="32"/>
      <c r="B708" s="1"/>
      <c r="C708" s="64"/>
      <c r="D708" s="64"/>
      <c r="E708" s="64"/>
      <c r="F708" s="64"/>
      <c r="G708" s="64"/>
      <c r="H708" s="64"/>
      <c r="I708" s="32"/>
    </row>
    <row r="709" spans="1:9" ht="12.75">
      <c r="A709" s="32"/>
      <c r="B709" s="1"/>
      <c r="C709" s="64"/>
      <c r="D709" s="64"/>
      <c r="E709" s="64"/>
      <c r="F709" s="64"/>
      <c r="G709" s="64"/>
      <c r="H709" s="64"/>
      <c r="I709" s="32"/>
    </row>
    <row r="710" spans="1:9" ht="12.75">
      <c r="A710" s="32"/>
      <c r="B710" s="1"/>
      <c r="C710" s="64"/>
      <c r="D710" s="64"/>
      <c r="E710" s="64"/>
      <c r="F710" s="64"/>
      <c r="G710" s="64"/>
      <c r="H710" s="64"/>
      <c r="I710" s="32"/>
    </row>
    <row r="711" spans="1:9" ht="12.75">
      <c r="A711" s="32"/>
      <c r="B711" s="1"/>
      <c r="C711" s="64"/>
      <c r="D711" s="64"/>
      <c r="E711" s="64"/>
      <c r="F711" s="64"/>
      <c r="G711" s="64"/>
      <c r="H711" s="64"/>
      <c r="I711" s="32"/>
    </row>
    <row r="712" spans="1:9" ht="12.75">
      <c r="A712" s="32"/>
      <c r="B712" s="1"/>
      <c r="C712" s="64"/>
      <c r="D712" s="64"/>
      <c r="E712" s="64"/>
      <c r="F712" s="64"/>
      <c r="G712" s="64"/>
      <c r="H712" s="64"/>
      <c r="I712" s="32"/>
    </row>
    <row r="713" spans="1:9" ht="12.75">
      <c r="A713" s="32"/>
      <c r="B713" s="1"/>
      <c r="C713" s="64"/>
      <c r="D713" s="64"/>
      <c r="E713" s="64"/>
      <c r="F713" s="64"/>
      <c r="G713" s="64"/>
      <c r="H713" s="64"/>
      <c r="I713" s="32"/>
    </row>
    <row r="714" spans="1:9" ht="12.75">
      <c r="A714" s="32"/>
      <c r="B714" s="1"/>
      <c r="C714" s="64"/>
      <c r="D714" s="64"/>
      <c r="E714" s="64"/>
      <c r="F714" s="64"/>
      <c r="G714" s="64"/>
      <c r="H714" s="64"/>
      <c r="I714" s="32"/>
    </row>
    <row r="715" spans="1:9" ht="12.75">
      <c r="A715" s="32"/>
      <c r="B715" s="1"/>
      <c r="C715" s="64"/>
      <c r="D715" s="64"/>
      <c r="E715" s="64"/>
      <c r="F715" s="64"/>
      <c r="G715" s="64"/>
      <c r="H715" s="64"/>
      <c r="I715" s="32"/>
    </row>
    <row r="716" spans="1:9" ht="12.75">
      <c r="A716" s="32"/>
      <c r="B716" s="1"/>
      <c r="C716" s="64"/>
      <c r="D716" s="64"/>
      <c r="E716" s="64"/>
      <c r="F716" s="64"/>
      <c r="G716" s="64"/>
      <c r="H716" s="64"/>
      <c r="I716" s="32"/>
    </row>
    <row r="717" spans="1:9" ht="12.75">
      <c r="A717" s="32"/>
      <c r="B717" s="1"/>
      <c r="C717" s="64"/>
      <c r="D717" s="64"/>
      <c r="E717" s="64"/>
      <c r="F717" s="64"/>
      <c r="G717" s="64"/>
      <c r="H717" s="64"/>
      <c r="I717" s="32"/>
    </row>
    <row r="718" spans="1:9" ht="12.75">
      <c r="A718" s="32"/>
      <c r="B718" s="1"/>
      <c r="C718" s="64"/>
      <c r="D718" s="64"/>
      <c r="E718" s="64"/>
      <c r="F718" s="64"/>
      <c r="G718" s="64"/>
      <c r="H718" s="64"/>
      <c r="I718" s="32"/>
    </row>
    <row r="719" spans="1:9" ht="12.75">
      <c r="A719" s="32"/>
      <c r="B719" s="1"/>
      <c r="C719" s="64"/>
      <c r="D719" s="64"/>
      <c r="E719" s="64"/>
      <c r="F719" s="64"/>
      <c r="G719" s="64"/>
      <c r="H719" s="64"/>
      <c r="I719" s="32"/>
    </row>
    <row r="720" spans="1:9" ht="12.75">
      <c r="A720" s="32"/>
      <c r="B720" s="1"/>
      <c r="C720" s="64"/>
      <c r="D720" s="64"/>
      <c r="E720" s="64"/>
      <c r="F720" s="64"/>
      <c r="G720" s="64"/>
      <c r="H720" s="64"/>
      <c r="I720" s="32"/>
    </row>
    <row r="721" spans="1:9" ht="12.75">
      <c r="A721" s="32"/>
      <c r="B721" s="1"/>
      <c r="C721" s="64"/>
      <c r="D721" s="64"/>
      <c r="E721" s="64"/>
      <c r="F721" s="64"/>
      <c r="G721" s="64"/>
      <c r="H721" s="64"/>
      <c r="I721" s="32"/>
    </row>
    <row r="722" spans="1:9" ht="12.75">
      <c r="A722" s="32"/>
      <c r="B722" s="1"/>
      <c r="C722" s="64"/>
      <c r="D722" s="64"/>
      <c r="E722" s="64"/>
      <c r="F722" s="64"/>
      <c r="G722" s="64"/>
      <c r="H722" s="64"/>
      <c r="I722" s="32"/>
    </row>
    <row r="723" spans="1:9" ht="12.75">
      <c r="A723" s="32"/>
      <c r="B723" s="1"/>
      <c r="C723" s="64"/>
      <c r="D723" s="64"/>
      <c r="E723" s="64"/>
      <c r="F723" s="64"/>
      <c r="G723" s="64"/>
      <c r="H723" s="64"/>
      <c r="I723" s="32"/>
    </row>
    <row r="724" spans="1:9" ht="12.75">
      <c r="A724" s="32"/>
      <c r="B724" s="1"/>
      <c r="C724" s="64"/>
      <c r="D724" s="64"/>
      <c r="E724" s="64"/>
      <c r="F724" s="64"/>
      <c r="G724" s="64"/>
      <c r="H724" s="64"/>
      <c r="I724" s="32"/>
    </row>
    <row r="725" spans="1:9" ht="12.75">
      <c r="A725" s="32"/>
      <c r="B725" s="1"/>
      <c r="C725" s="64"/>
      <c r="D725" s="64"/>
      <c r="E725" s="64"/>
      <c r="F725" s="64"/>
      <c r="G725" s="64"/>
      <c r="H725" s="64"/>
      <c r="I725" s="32"/>
    </row>
    <row r="726" spans="1:9" ht="12.75">
      <c r="A726" s="32"/>
      <c r="B726" s="1"/>
      <c r="C726" s="64"/>
      <c r="D726" s="64"/>
      <c r="E726" s="64"/>
      <c r="F726" s="64"/>
      <c r="G726" s="64"/>
      <c r="H726" s="64"/>
      <c r="I726" s="32"/>
    </row>
    <row r="727" spans="1:9" ht="12.75">
      <c r="A727" s="32"/>
      <c r="B727" s="1"/>
      <c r="C727" s="64"/>
      <c r="D727" s="64"/>
      <c r="E727" s="64"/>
      <c r="F727" s="64"/>
      <c r="G727" s="64"/>
      <c r="H727" s="64"/>
      <c r="I727" s="32"/>
    </row>
    <row r="728" spans="1:9" ht="12.75">
      <c r="A728" s="32"/>
      <c r="B728" s="1"/>
      <c r="C728" s="64"/>
      <c r="D728" s="64"/>
      <c r="E728" s="64"/>
      <c r="F728" s="64"/>
      <c r="G728" s="64"/>
      <c r="H728" s="64"/>
      <c r="I728" s="32"/>
    </row>
    <row r="729" spans="1:9" ht="12.75">
      <c r="A729" s="32"/>
      <c r="B729" s="1"/>
      <c r="C729" s="64"/>
      <c r="D729" s="64"/>
      <c r="E729" s="64"/>
      <c r="F729" s="64"/>
      <c r="G729" s="64"/>
      <c r="H729" s="64"/>
      <c r="I729" s="32"/>
    </row>
    <row r="730" spans="1:9" ht="12.75">
      <c r="A730" s="32"/>
      <c r="B730" s="1"/>
      <c r="C730" s="64"/>
      <c r="D730" s="64"/>
      <c r="E730" s="64"/>
      <c r="F730" s="64"/>
      <c r="G730" s="64"/>
      <c r="H730" s="64"/>
      <c r="I730" s="32"/>
    </row>
    <row r="731" spans="1:9" ht="12.75">
      <c r="A731" s="32"/>
      <c r="B731" s="1"/>
      <c r="C731" s="64"/>
      <c r="D731" s="64"/>
      <c r="E731" s="64"/>
      <c r="F731" s="64"/>
      <c r="G731" s="64"/>
      <c r="H731" s="64"/>
      <c r="I731" s="32"/>
    </row>
    <row r="732" spans="1:9" ht="12.75">
      <c r="A732" s="32"/>
      <c r="B732" s="1"/>
      <c r="C732" s="64"/>
      <c r="D732" s="64"/>
      <c r="E732" s="64"/>
      <c r="F732" s="64"/>
      <c r="G732" s="64"/>
      <c r="H732" s="64"/>
      <c r="I732" s="32"/>
    </row>
    <row r="733" spans="1:9" ht="12.75">
      <c r="A733" s="32"/>
      <c r="B733" s="1"/>
      <c r="C733" s="64"/>
      <c r="D733" s="64"/>
      <c r="E733" s="64"/>
      <c r="F733" s="64"/>
      <c r="G733" s="64"/>
      <c r="H733" s="64"/>
      <c r="I733" s="32"/>
    </row>
    <row r="734" spans="1:9" ht="12.75">
      <c r="A734" s="32"/>
      <c r="B734" s="1"/>
      <c r="C734" s="64"/>
      <c r="D734" s="64"/>
      <c r="E734" s="64"/>
      <c r="F734" s="64"/>
      <c r="G734" s="64"/>
      <c r="H734" s="64"/>
      <c r="I734" s="32"/>
    </row>
    <row r="735" spans="1:9" ht="12.75">
      <c r="A735" s="32"/>
      <c r="B735" s="1"/>
      <c r="C735" s="64"/>
      <c r="D735" s="64"/>
      <c r="E735" s="64"/>
      <c r="F735" s="64"/>
      <c r="G735" s="64"/>
      <c r="H735" s="64"/>
      <c r="I735" s="32"/>
    </row>
    <row r="736" spans="1:9" ht="12.75">
      <c r="A736" s="32"/>
      <c r="B736" s="1"/>
      <c r="C736" s="64"/>
      <c r="D736" s="64"/>
      <c r="E736" s="64"/>
      <c r="F736" s="64"/>
      <c r="G736" s="64"/>
      <c r="H736" s="64"/>
      <c r="I736" s="32"/>
    </row>
    <row r="737" spans="1:9" ht="12.75">
      <c r="A737" s="32"/>
      <c r="B737" s="1"/>
      <c r="C737" s="64"/>
      <c r="D737" s="64"/>
      <c r="E737" s="64"/>
      <c r="F737" s="64"/>
      <c r="G737" s="64"/>
      <c r="H737" s="64"/>
      <c r="I737" s="32"/>
    </row>
    <row r="738" spans="1:9" ht="12.75">
      <c r="A738" s="32"/>
      <c r="B738" s="1"/>
      <c r="C738" s="64"/>
      <c r="D738" s="64"/>
      <c r="E738" s="64"/>
      <c r="F738" s="64"/>
      <c r="G738" s="64"/>
      <c r="H738" s="64"/>
      <c r="I738" s="32"/>
    </row>
    <row r="739" spans="1:9" ht="12.75">
      <c r="A739" s="32"/>
      <c r="B739" s="1"/>
      <c r="C739" s="64"/>
      <c r="D739" s="64"/>
      <c r="E739" s="64"/>
      <c r="F739" s="64"/>
      <c r="G739" s="64"/>
      <c r="H739" s="64"/>
      <c r="I739" s="32"/>
    </row>
    <row r="740" spans="1:9" ht="12.75">
      <c r="A740" s="32"/>
      <c r="B740" s="1"/>
      <c r="C740" s="64"/>
      <c r="D740" s="64"/>
      <c r="E740" s="64"/>
      <c r="F740" s="64"/>
      <c r="G740" s="64"/>
      <c r="H740" s="64"/>
      <c r="I740" s="32"/>
    </row>
    <row r="741" spans="1:9" ht="12.75">
      <c r="A741" s="32"/>
      <c r="B741" s="1"/>
      <c r="C741" s="64"/>
      <c r="D741" s="64"/>
      <c r="E741" s="64"/>
      <c r="F741" s="64"/>
      <c r="G741" s="64"/>
      <c r="H741" s="64"/>
      <c r="I741" s="32"/>
    </row>
    <row r="742" spans="1:9" ht="12.75">
      <c r="A742" s="32"/>
      <c r="B742" s="1"/>
      <c r="C742" s="64"/>
      <c r="D742" s="64"/>
      <c r="E742" s="64"/>
      <c r="F742" s="64"/>
      <c r="G742" s="64"/>
      <c r="H742" s="64"/>
      <c r="I742" s="32"/>
    </row>
    <row r="743" spans="1:9" ht="12.75">
      <c r="A743" s="32"/>
      <c r="B743" s="1"/>
      <c r="C743" s="64"/>
      <c r="D743" s="64"/>
      <c r="E743" s="64"/>
      <c r="F743" s="64"/>
      <c r="G743" s="64"/>
      <c r="H743" s="64"/>
      <c r="I743" s="32"/>
    </row>
    <row r="744" spans="1:9" ht="12.75">
      <c r="A744" s="32"/>
      <c r="B744" s="1"/>
      <c r="C744" s="64"/>
      <c r="D744" s="64"/>
      <c r="E744" s="64"/>
      <c r="F744" s="64"/>
      <c r="G744" s="64"/>
      <c r="H744" s="64"/>
      <c r="I744" s="32"/>
    </row>
    <row r="745" spans="1:9" ht="12.75">
      <c r="A745" s="32"/>
      <c r="B745" s="1"/>
      <c r="C745" s="64"/>
      <c r="D745" s="64"/>
      <c r="E745" s="64"/>
      <c r="F745" s="64"/>
      <c r="G745" s="64"/>
      <c r="H745" s="64"/>
      <c r="I745" s="32"/>
    </row>
    <row r="746" spans="1:9" ht="12.75">
      <c r="A746" s="32"/>
      <c r="B746" s="1"/>
      <c r="C746" s="64"/>
      <c r="D746" s="64"/>
      <c r="E746" s="64"/>
      <c r="F746" s="64"/>
      <c r="G746" s="64"/>
      <c r="H746" s="64"/>
      <c r="I746" s="32"/>
    </row>
    <row r="747" spans="1:9" ht="12.75">
      <c r="A747" s="32"/>
      <c r="B747" s="1"/>
      <c r="C747" s="64"/>
      <c r="D747" s="64"/>
      <c r="E747" s="64"/>
      <c r="F747" s="64"/>
      <c r="G747" s="64"/>
      <c r="H747" s="64"/>
      <c r="I747" s="32"/>
    </row>
    <row r="748" spans="1:9" ht="12.75">
      <c r="A748" s="32"/>
      <c r="B748" s="1"/>
      <c r="C748" s="64"/>
      <c r="D748" s="64"/>
      <c r="E748" s="64"/>
      <c r="F748" s="64"/>
      <c r="G748" s="64"/>
      <c r="H748" s="64"/>
      <c r="I748" s="32"/>
    </row>
    <row r="749" spans="1:9" ht="12.75">
      <c r="A749" s="32"/>
      <c r="B749" s="1"/>
      <c r="C749" s="64"/>
      <c r="D749" s="64"/>
      <c r="E749" s="64"/>
      <c r="F749" s="64"/>
      <c r="G749" s="64"/>
      <c r="H749" s="64"/>
      <c r="I749" s="32"/>
    </row>
    <row r="750" spans="1:9" ht="12.75">
      <c r="A750" s="32"/>
      <c r="B750" s="1"/>
      <c r="C750" s="64"/>
      <c r="D750" s="64"/>
      <c r="E750" s="64"/>
      <c r="F750" s="64"/>
      <c r="G750" s="64"/>
      <c r="H750" s="64"/>
      <c r="I750" s="32"/>
    </row>
    <row r="751" spans="1:9" ht="12.75">
      <c r="A751" s="32"/>
      <c r="B751" s="1"/>
      <c r="C751" s="64"/>
      <c r="D751" s="64"/>
      <c r="E751" s="64"/>
      <c r="F751" s="64"/>
      <c r="G751" s="64"/>
      <c r="H751" s="64"/>
      <c r="I751" s="32"/>
    </row>
    <row r="752" spans="1:9" ht="12.75">
      <c r="A752" s="32"/>
      <c r="B752" s="1"/>
      <c r="C752" s="64"/>
      <c r="D752" s="64"/>
      <c r="E752" s="64"/>
      <c r="F752" s="64"/>
      <c r="G752" s="64"/>
      <c r="H752" s="64"/>
      <c r="I752" s="32"/>
    </row>
    <row r="753" spans="1:9" ht="12.75">
      <c r="A753" s="32"/>
      <c r="B753" s="1"/>
      <c r="C753" s="64"/>
      <c r="D753" s="64"/>
      <c r="E753" s="64"/>
      <c r="F753" s="64"/>
      <c r="G753" s="64"/>
      <c r="H753" s="64"/>
      <c r="I753" s="32"/>
    </row>
    <row r="754" spans="1:9" ht="12.75">
      <c r="A754" s="32"/>
      <c r="B754" s="1"/>
      <c r="C754" s="64"/>
      <c r="D754" s="64"/>
      <c r="E754" s="64"/>
      <c r="F754" s="64"/>
      <c r="G754" s="64"/>
      <c r="H754" s="64"/>
      <c r="I754" s="32"/>
    </row>
    <row r="755" spans="1:9" ht="12.75">
      <c r="A755" s="32"/>
      <c r="B755" s="1"/>
      <c r="C755" s="64"/>
      <c r="D755" s="64"/>
      <c r="E755" s="64"/>
      <c r="F755" s="64"/>
      <c r="G755" s="64"/>
      <c r="H755" s="64"/>
      <c r="I755" s="32"/>
    </row>
    <row r="756" spans="1:9" ht="12.75">
      <c r="A756" s="32"/>
      <c r="B756" s="1"/>
      <c r="C756" s="64"/>
      <c r="D756" s="64"/>
      <c r="E756" s="64"/>
      <c r="F756" s="64"/>
      <c r="G756" s="64"/>
      <c r="H756" s="64"/>
      <c r="I756" s="32"/>
    </row>
    <row r="757" spans="1:9" ht="12.75">
      <c r="A757" s="32"/>
      <c r="B757" s="1"/>
      <c r="C757" s="64"/>
      <c r="D757" s="64"/>
      <c r="E757" s="64"/>
      <c r="F757" s="64"/>
      <c r="G757" s="64"/>
      <c r="H757" s="64"/>
      <c r="I757" s="32"/>
    </row>
    <row r="758" spans="1:9" ht="12.75">
      <c r="A758" s="32"/>
      <c r="B758" s="1"/>
      <c r="C758" s="64"/>
      <c r="D758" s="64"/>
      <c r="E758" s="64"/>
      <c r="F758" s="64"/>
      <c r="G758" s="64"/>
      <c r="H758" s="64"/>
      <c r="I758" s="32"/>
    </row>
    <row r="759" spans="1:9" ht="12.75">
      <c r="A759" s="32"/>
      <c r="B759" s="1"/>
      <c r="C759" s="64"/>
      <c r="D759" s="64"/>
      <c r="E759" s="64"/>
      <c r="F759" s="64"/>
      <c r="G759" s="64"/>
      <c r="H759" s="64"/>
      <c r="I759" s="32"/>
    </row>
    <row r="760" spans="1:9" ht="12.75">
      <c r="A760" s="32"/>
      <c r="B760" s="1"/>
      <c r="C760" s="64"/>
      <c r="D760" s="64"/>
      <c r="E760" s="64"/>
      <c r="F760" s="64"/>
      <c r="G760" s="64"/>
      <c r="H760" s="64"/>
      <c r="I760" s="32"/>
    </row>
    <row r="761" spans="1:9" ht="12.75">
      <c r="A761" s="32"/>
      <c r="B761" s="1"/>
      <c r="C761" s="64"/>
      <c r="D761" s="64"/>
      <c r="E761" s="64"/>
      <c r="F761" s="64"/>
      <c r="G761" s="64"/>
      <c r="H761" s="64"/>
      <c r="I761" s="32"/>
    </row>
    <row r="762" spans="1:9" ht="12.75">
      <c r="A762" s="32"/>
      <c r="B762" s="1"/>
      <c r="C762" s="64"/>
      <c r="D762" s="64"/>
      <c r="E762" s="64"/>
      <c r="F762" s="64"/>
      <c r="G762" s="64"/>
      <c r="H762" s="64"/>
      <c r="I762" s="32"/>
    </row>
    <row r="763" spans="1:9" ht="12.75">
      <c r="A763" s="32"/>
      <c r="B763" s="1"/>
      <c r="C763" s="64"/>
      <c r="D763" s="64"/>
      <c r="E763" s="64"/>
      <c r="F763" s="64"/>
      <c r="G763" s="64"/>
      <c r="H763" s="64"/>
      <c r="I763" s="32"/>
    </row>
    <row r="764" spans="1:9" ht="12.75">
      <c r="A764" s="32"/>
      <c r="B764" s="1"/>
      <c r="C764" s="64"/>
      <c r="D764" s="64"/>
      <c r="E764" s="64"/>
      <c r="F764" s="64"/>
      <c r="G764" s="64"/>
      <c r="H764" s="64"/>
      <c r="I764" s="32"/>
    </row>
    <row r="765" spans="1:9" ht="12.75">
      <c r="A765" s="32"/>
      <c r="B765" s="1"/>
      <c r="C765" s="64"/>
      <c r="D765" s="64"/>
      <c r="E765" s="64"/>
      <c r="F765" s="64"/>
      <c r="G765" s="64"/>
      <c r="H765" s="64"/>
      <c r="I765" s="32"/>
    </row>
    <row r="766" spans="1:9" ht="12.75">
      <c r="A766" s="32"/>
      <c r="B766" s="1"/>
      <c r="C766" s="64"/>
      <c r="D766" s="64"/>
      <c r="E766" s="64"/>
      <c r="F766" s="64"/>
      <c r="G766" s="64"/>
      <c r="H766" s="64"/>
      <c r="I766" s="32"/>
    </row>
    <row r="767" spans="1:9" ht="12.75">
      <c r="A767" s="32"/>
      <c r="B767" s="1"/>
      <c r="C767" s="64"/>
      <c r="D767" s="64"/>
      <c r="E767" s="64"/>
      <c r="F767" s="64"/>
      <c r="G767" s="64"/>
      <c r="H767" s="64"/>
      <c r="I767" s="32"/>
    </row>
    <row r="768" spans="1:9" ht="12.75">
      <c r="A768" s="32"/>
      <c r="B768" s="1"/>
      <c r="C768" s="64"/>
      <c r="D768" s="64"/>
      <c r="E768" s="64"/>
      <c r="F768" s="64"/>
      <c r="G768" s="64"/>
      <c r="H768" s="64"/>
      <c r="I768" s="32"/>
    </row>
    <row r="769" spans="1:9" ht="12.75">
      <c r="A769" s="32"/>
      <c r="B769" s="1"/>
      <c r="C769" s="64"/>
      <c r="D769" s="64"/>
      <c r="E769" s="64"/>
      <c r="F769" s="64"/>
      <c r="G769" s="64"/>
      <c r="H769" s="64"/>
      <c r="I769" s="32"/>
    </row>
    <row r="770" spans="1:9" ht="12.75">
      <c r="A770" s="32"/>
      <c r="B770" s="1"/>
      <c r="C770" s="64"/>
      <c r="D770" s="64"/>
      <c r="E770" s="64"/>
      <c r="F770" s="64"/>
      <c r="G770" s="64"/>
      <c r="H770" s="64"/>
      <c r="I770" s="32"/>
    </row>
    <row r="771" spans="1:9" ht="12.75">
      <c r="A771" s="32"/>
      <c r="B771" s="1"/>
      <c r="C771" s="64"/>
      <c r="D771" s="64"/>
      <c r="E771" s="64"/>
      <c r="F771" s="64"/>
      <c r="G771" s="64"/>
      <c r="H771" s="64"/>
      <c r="I771" s="32"/>
    </row>
    <row r="772" spans="1:9" ht="12.75">
      <c r="A772" s="32"/>
      <c r="B772" s="1"/>
      <c r="C772" s="64"/>
      <c r="D772" s="64"/>
      <c r="E772" s="64"/>
      <c r="F772" s="64"/>
      <c r="G772" s="64"/>
      <c r="H772" s="64"/>
      <c r="I772" s="32"/>
    </row>
    <row r="773" spans="1:9" ht="12.75">
      <c r="A773" s="32"/>
      <c r="B773" s="1"/>
      <c r="C773" s="64"/>
      <c r="D773" s="64"/>
      <c r="E773" s="64"/>
      <c r="F773" s="64"/>
      <c r="G773" s="64"/>
      <c r="H773" s="64"/>
      <c r="I773" s="32"/>
    </row>
    <row r="774" spans="1:9" ht="12.75">
      <c r="A774" s="32"/>
      <c r="B774" s="1"/>
      <c r="C774" s="64"/>
      <c r="D774" s="64"/>
      <c r="E774" s="64"/>
      <c r="F774" s="64"/>
      <c r="G774" s="64"/>
      <c r="H774" s="64"/>
      <c r="I774" s="32"/>
    </row>
    <row r="775" spans="1:9" ht="12.75">
      <c r="A775" s="32"/>
      <c r="B775" s="1"/>
      <c r="C775" s="64"/>
      <c r="D775" s="64"/>
      <c r="E775" s="64"/>
      <c r="F775" s="64"/>
      <c r="G775" s="64"/>
      <c r="H775" s="64"/>
      <c r="I775" s="32"/>
    </row>
    <row r="776" spans="1:9" ht="12.75">
      <c r="A776" s="32"/>
      <c r="B776" s="1"/>
      <c r="C776" s="64"/>
      <c r="D776" s="64"/>
      <c r="E776" s="64"/>
      <c r="F776" s="64"/>
      <c r="G776" s="64"/>
      <c r="H776" s="64"/>
      <c r="I776" s="32"/>
    </row>
    <row r="777" spans="1:9" ht="12.75">
      <c r="A777" s="32"/>
      <c r="B777" s="1"/>
      <c r="C777" s="64"/>
      <c r="D777" s="64"/>
      <c r="E777" s="64"/>
      <c r="F777" s="64"/>
      <c r="G777" s="64"/>
      <c r="H777" s="64"/>
      <c r="I777" s="32"/>
    </row>
    <row r="778" spans="1:9" ht="12.75">
      <c r="A778" s="32"/>
      <c r="B778" s="1"/>
      <c r="C778" s="64"/>
      <c r="D778" s="64"/>
      <c r="E778" s="64"/>
      <c r="F778" s="64"/>
      <c r="G778" s="64"/>
      <c r="H778" s="64"/>
      <c r="I778" s="32"/>
    </row>
    <row r="779" spans="1:9" ht="12.75">
      <c r="A779" s="32"/>
      <c r="B779" s="1"/>
      <c r="C779" s="64"/>
      <c r="D779" s="64"/>
      <c r="E779" s="64"/>
      <c r="F779" s="64"/>
      <c r="G779" s="64"/>
      <c r="H779" s="64"/>
      <c r="I779" s="32"/>
    </row>
    <row r="780" spans="1:9" ht="12.75">
      <c r="A780" s="32"/>
      <c r="B780" s="1"/>
      <c r="C780" s="64"/>
      <c r="D780" s="64"/>
      <c r="E780" s="64"/>
      <c r="F780" s="64"/>
      <c r="G780" s="64"/>
      <c r="H780" s="64"/>
      <c r="I780" s="32"/>
    </row>
    <row r="781" spans="1:9" ht="12.75">
      <c r="A781" s="32"/>
      <c r="B781" s="1"/>
      <c r="C781" s="64"/>
      <c r="D781" s="64"/>
      <c r="E781" s="64"/>
      <c r="F781" s="64"/>
      <c r="G781" s="64"/>
      <c r="H781" s="64"/>
      <c r="I781" s="32"/>
    </row>
    <row r="782" spans="1:9" ht="12.75">
      <c r="A782" s="32"/>
      <c r="B782" s="1"/>
      <c r="C782" s="64"/>
      <c r="D782" s="64"/>
      <c r="E782" s="64"/>
      <c r="F782" s="64"/>
      <c r="G782" s="64"/>
      <c r="H782" s="64"/>
      <c r="I782" s="32"/>
    </row>
    <row r="783" spans="1:9" ht="12.75">
      <c r="A783" s="32"/>
      <c r="B783" s="1"/>
      <c r="C783" s="64"/>
      <c r="D783" s="64"/>
      <c r="E783" s="64"/>
      <c r="F783" s="64"/>
      <c r="G783" s="64"/>
      <c r="H783" s="64"/>
      <c r="I783" s="32"/>
    </row>
    <row r="784" spans="1:9" ht="12.75">
      <c r="A784" s="32"/>
      <c r="B784" s="1"/>
      <c r="C784" s="64"/>
      <c r="D784" s="64"/>
      <c r="E784" s="64"/>
      <c r="F784" s="64"/>
      <c r="G784" s="64"/>
      <c r="H784" s="64"/>
      <c r="I784" s="32"/>
    </row>
    <row r="785" spans="1:9" ht="12.75">
      <c r="A785" s="32"/>
      <c r="B785" s="1"/>
      <c r="C785" s="64"/>
      <c r="D785" s="64"/>
      <c r="E785" s="64"/>
      <c r="F785" s="64"/>
      <c r="G785" s="64"/>
      <c r="H785" s="64"/>
      <c r="I785" s="32"/>
    </row>
    <row r="786" spans="1:9" ht="12.75">
      <c r="A786" s="32"/>
      <c r="B786" s="1"/>
      <c r="C786" s="64"/>
      <c r="D786" s="64"/>
      <c r="E786" s="64"/>
      <c r="F786" s="64"/>
      <c r="G786" s="64"/>
      <c r="H786" s="64"/>
      <c r="I786" s="32"/>
    </row>
    <row r="787" spans="1:9" ht="12.75">
      <c r="A787" s="32"/>
      <c r="B787" s="1"/>
      <c r="C787" s="64"/>
      <c r="D787" s="64"/>
      <c r="E787" s="64"/>
      <c r="F787" s="64"/>
      <c r="G787" s="64"/>
      <c r="H787" s="64"/>
      <c r="I787" s="32"/>
    </row>
    <row r="788" spans="1:9" ht="12.75">
      <c r="A788" s="32"/>
      <c r="B788" s="1"/>
      <c r="C788" s="64"/>
      <c r="D788" s="64"/>
      <c r="E788" s="64"/>
      <c r="F788" s="64"/>
      <c r="G788" s="64"/>
      <c r="H788" s="64"/>
      <c r="I788" s="32"/>
    </row>
    <row r="789" spans="1:9" ht="12.75">
      <c r="A789" s="32"/>
      <c r="B789" s="1"/>
      <c r="C789" s="64"/>
      <c r="D789" s="64"/>
      <c r="E789" s="64"/>
      <c r="F789" s="64"/>
      <c r="G789" s="64"/>
      <c r="H789" s="64"/>
      <c r="I789" s="32"/>
    </row>
    <row r="790" spans="1:9" ht="12.75">
      <c r="A790" s="32"/>
      <c r="B790" s="1"/>
      <c r="C790" s="64"/>
      <c r="D790" s="64"/>
      <c r="E790" s="64"/>
      <c r="F790" s="64"/>
      <c r="G790" s="64"/>
      <c r="H790" s="64"/>
      <c r="I790" s="32"/>
    </row>
    <row r="791" spans="1:9" ht="12.75">
      <c r="A791" s="32"/>
      <c r="B791" s="1"/>
      <c r="C791" s="64"/>
      <c r="D791" s="64"/>
      <c r="E791" s="64"/>
      <c r="F791" s="64"/>
      <c r="G791" s="64"/>
      <c r="H791" s="64"/>
      <c r="I791" s="32"/>
    </row>
    <row r="792" spans="1:9" ht="12.75">
      <c r="A792" s="32"/>
      <c r="B792" s="1"/>
      <c r="C792" s="64"/>
      <c r="D792" s="64"/>
      <c r="E792" s="64"/>
      <c r="F792" s="64"/>
      <c r="G792" s="64"/>
      <c r="H792" s="64"/>
      <c r="I792" s="32"/>
    </row>
    <row r="793" spans="1:9" ht="12.75">
      <c r="A793" s="32"/>
      <c r="B793" s="1"/>
      <c r="C793" s="64"/>
      <c r="D793" s="64"/>
      <c r="E793" s="64"/>
      <c r="F793" s="64"/>
      <c r="G793" s="64"/>
      <c r="H793" s="64"/>
      <c r="I793" s="32"/>
    </row>
    <row r="794" spans="1:9" ht="12.75">
      <c r="A794" s="32"/>
      <c r="B794" s="1"/>
      <c r="C794" s="64"/>
      <c r="D794" s="64"/>
      <c r="E794" s="64"/>
      <c r="F794" s="64"/>
      <c r="G794" s="64"/>
      <c r="H794" s="64"/>
      <c r="I794" s="32"/>
    </row>
    <row r="795" spans="1:9" ht="12.75">
      <c r="A795" s="32"/>
      <c r="B795" s="1"/>
      <c r="C795" s="64"/>
      <c r="D795" s="64"/>
      <c r="E795" s="64"/>
      <c r="F795" s="64"/>
      <c r="G795" s="64"/>
      <c r="H795" s="64"/>
      <c r="I795" s="32"/>
    </row>
    <row r="796" spans="1:9" ht="12.75">
      <c r="A796" s="32"/>
      <c r="B796" s="1"/>
      <c r="C796" s="64"/>
      <c r="D796" s="64"/>
      <c r="E796" s="64"/>
      <c r="F796" s="64"/>
      <c r="G796" s="64"/>
      <c r="H796" s="64"/>
      <c r="I796" s="32"/>
    </row>
    <row r="797" spans="1:9" ht="12.75">
      <c r="A797" s="32"/>
      <c r="B797" s="1"/>
      <c r="C797" s="64"/>
      <c r="D797" s="64"/>
      <c r="E797" s="64"/>
      <c r="F797" s="64"/>
      <c r="G797" s="64"/>
      <c r="H797" s="64"/>
      <c r="I797" s="32"/>
    </row>
    <row r="798" spans="1:9" ht="12.75">
      <c r="A798" s="32"/>
      <c r="B798" s="1"/>
      <c r="C798" s="64"/>
      <c r="D798" s="64"/>
      <c r="E798" s="64"/>
      <c r="F798" s="64"/>
      <c r="G798" s="64"/>
      <c r="H798" s="64"/>
      <c r="I798" s="32"/>
    </row>
    <row r="799" spans="1:9" ht="12.75">
      <c r="A799" s="32"/>
      <c r="B799" s="1"/>
      <c r="C799" s="64"/>
      <c r="D799" s="64"/>
      <c r="E799" s="64"/>
      <c r="F799" s="64"/>
      <c r="G799" s="64"/>
      <c r="H799" s="64"/>
      <c r="I799" s="32"/>
    </row>
    <row r="800" spans="1:9" ht="12.75">
      <c r="A800" s="32"/>
      <c r="B800" s="1"/>
      <c r="C800" s="64"/>
      <c r="D800" s="64"/>
      <c r="E800" s="64"/>
      <c r="F800" s="64"/>
      <c r="G800" s="64"/>
      <c r="H800" s="64"/>
      <c r="I800" s="32"/>
    </row>
    <row r="801" spans="1:9" ht="12.75">
      <c r="A801" s="32"/>
      <c r="B801" s="1"/>
      <c r="C801" s="64"/>
      <c r="D801" s="64"/>
      <c r="E801" s="64"/>
      <c r="F801" s="64"/>
      <c r="G801" s="64"/>
      <c r="H801" s="64"/>
      <c r="I801" s="32"/>
    </row>
    <row r="802" spans="1:9" ht="12.75">
      <c r="A802" s="32"/>
      <c r="B802" s="1"/>
      <c r="C802" s="64"/>
      <c r="D802" s="64"/>
      <c r="E802" s="64"/>
      <c r="F802" s="64"/>
      <c r="G802" s="64"/>
      <c r="H802" s="64"/>
      <c r="I802" s="32"/>
    </row>
    <row r="803" spans="1:9" ht="12.75">
      <c r="A803" s="32"/>
      <c r="B803" s="1"/>
      <c r="C803" s="64"/>
      <c r="D803" s="64"/>
      <c r="E803" s="64"/>
      <c r="F803" s="64"/>
      <c r="G803" s="64"/>
      <c r="H803" s="64"/>
      <c r="I803" s="32"/>
    </row>
    <row r="804" spans="1:9" ht="12.75">
      <c r="A804" s="32"/>
      <c r="B804" s="1"/>
      <c r="C804" s="64"/>
      <c r="D804" s="64"/>
      <c r="E804" s="64"/>
      <c r="F804" s="64"/>
      <c r="G804" s="64"/>
      <c r="H804" s="64"/>
      <c r="I804" s="32"/>
    </row>
    <row r="805" spans="1:9" ht="12.75">
      <c r="A805" s="32"/>
      <c r="B805" s="1"/>
      <c r="C805" s="64"/>
      <c r="D805" s="64"/>
      <c r="E805" s="64"/>
      <c r="F805" s="64"/>
      <c r="G805" s="64"/>
      <c r="H805" s="64"/>
      <c r="I805" s="32"/>
    </row>
    <row r="806" spans="1:9" ht="12.75">
      <c r="A806" s="32"/>
      <c r="B806" s="1"/>
      <c r="C806" s="64"/>
      <c r="D806" s="64"/>
      <c r="E806" s="64"/>
      <c r="F806" s="64"/>
      <c r="G806" s="64"/>
      <c r="H806" s="64"/>
      <c r="I806" s="32"/>
    </row>
    <row r="807" spans="1:9" ht="12.75">
      <c r="A807" s="32"/>
      <c r="B807" s="1"/>
      <c r="C807" s="64"/>
      <c r="D807" s="64"/>
      <c r="E807" s="64"/>
      <c r="F807" s="64"/>
      <c r="G807" s="64"/>
      <c r="H807" s="64"/>
      <c r="I807" s="32"/>
    </row>
    <row r="808" spans="1:9" ht="12.75">
      <c r="A808" s="32"/>
      <c r="B808" s="1"/>
      <c r="C808" s="64"/>
      <c r="D808" s="64"/>
      <c r="E808" s="64"/>
      <c r="F808" s="64"/>
      <c r="G808" s="64"/>
      <c r="H808" s="64"/>
      <c r="I808" s="32"/>
    </row>
    <row r="809" spans="1:9" ht="12.75">
      <c r="A809" s="32"/>
      <c r="B809" s="1"/>
      <c r="C809" s="64"/>
      <c r="D809" s="64"/>
      <c r="E809" s="64"/>
      <c r="F809" s="64"/>
      <c r="G809" s="64"/>
      <c r="H809" s="64"/>
      <c r="I809" s="32"/>
    </row>
    <row r="810" spans="1:9" ht="12.75">
      <c r="A810" s="32"/>
      <c r="B810" s="1"/>
      <c r="C810" s="64"/>
      <c r="D810" s="64"/>
      <c r="E810" s="64"/>
      <c r="F810" s="64"/>
      <c r="G810" s="64"/>
      <c r="H810" s="64"/>
      <c r="I810" s="32"/>
    </row>
    <row r="811" spans="1:9" ht="12.75">
      <c r="A811" s="32"/>
      <c r="B811" s="1"/>
      <c r="C811" s="64"/>
      <c r="D811" s="64"/>
      <c r="E811" s="64"/>
      <c r="F811" s="64"/>
      <c r="G811" s="64"/>
      <c r="H811" s="64"/>
      <c r="I811" s="32"/>
    </row>
    <row r="812" spans="1:9" ht="12.75">
      <c r="A812" s="32"/>
      <c r="B812" s="1"/>
      <c r="C812" s="64"/>
      <c r="D812" s="64"/>
      <c r="E812" s="64"/>
      <c r="F812" s="64"/>
      <c r="G812" s="64"/>
      <c r="H812" s="64"/>
      <c r="I812" s="32"/>
    </row>
    <row r="813" spans="1:9" ht="12.75">
      <c r="A813" s="32"/>
      <c r="B813" s="1"/>
      <c r="C813" s="64"/>
      <c r="D813" s="64"/>
      <c r="E813" s="64"/>
      <c r="F813" s="64"/>
      <c r="G813" s="64"/>
      <c r="H813" s="64"/>
      <c r="I813" s="32"/>
    </row>
    <row r="814" spans="1:9" ht="12.75">
      <c r="A814" s="32"/>
      <c r="B814" s="1"/>
      <c r="C814" s="64"/>
      <c r="D814" s="64"/>
      <c r="E814" s="64"/>
      <c r="F814" s="64"/>
      <c r="G814" s="64"/>
      <c r="H814" s="64"/>
      <c r="I814" s="32"/>
    </row>
    <row r="815" spans="1:9" ht="12.75">
      <c r="A815" s="32"/>
      <c r="B815" s="1"/>
      <c r="C815" s="64"/>
      <c r="D815" s="64"/>
      <c r="E815" s="64"/>
      <c r="F815" s="64"/>
      <c r="G815" s="64"/>
      <c r="H815" s="64"/>
      <c r="I815" s="32"/>
    </row>
    <row r="816" spans="1:9" ht="12.75">
      <c r="A816" s="32"/>
      <c r="B816" s="1"/>
      <c r="C816" s="64"/>
      <c r="D816" s="64"/>
      <c r="E816" s="64"/>
      <c r="F816" s="64"/>
      <c r="G816" s="64"/>
      <c r="H816" s="64"/>
      <c r="I816" s="32"/>
    </row>
    <row r="817" spans="1:9" ht="12.75">
      <c r="A817" s="32"/>
      <c r="B817" s="1"/>
      <c r="C817" s="64"/>
      <c r="D817" s="64"/>
      <c r="E817" s="64"/>
      <c r="F817" s="64"/>
      <c r="G817" s="64"/>
      <c r="H817" s="64"/>
      <c r="I817" s="32"/>
    </row>
    <row r="818" spans="1:9" ht="12.75">
      <c r="A818" s="32"/>
      <c r="B818" s="1"/>
      <c r="C818" s="64"/>
      <c r="D818" s="64"/>
      <c r="E818" s="64"/>
      <c r="F818" s="64"/>
      <c r="G818" s="64"/>
      <c r="H818" s="64"/>
      <c r="I818" s="32"/>
    </row>
    <row r="819" spans="1:9" ht="12.75">
      <c r="A819" s="32"/>
      <c r="B819" s="1"/>
      <c r="C819" s="64"/>
      <c r="D819" s="64"/>
      <c r="E819" s="64"/>
      <c r="F819" s="64"/>
      <c r="G819" s="64"/>
      <c r="H819" s="64"/>
      <c r="I819" s="32"/>
    </row>
    <row r="820" spans="1:9" ht="12.75">
      <c r="A820" s="32"/>
      <c r="B820" s="1"/>
      <c r="C820" s="64"/>
      <c r="D820" s="64"/>
      <c r="E820" s="64"/>
      <c r="F820" s="64"/>
      <c r="G820" s="64"/>
      <c r="H820" s="64"/>
      <c r="I820" s="32"/>
    </row>
    <row r="821" spans="1:9" ht="12.75">
      <c r="A821" s="32"/>
      <c r="B821" s="1"/>
      <c r="C821" s="64"/>
      <c r="D821" s="64"/>
      <c r="E821" s="64"/>
      <c r="F821" s="64"/>
      <c r="G821" s="64"/>
      <c r="H821" s="64"/>
      <c r="I821" s="32"/>
    </row>
    <row r="822" spans="1:9" ht="12.75">
      <c r="A822" s="32"/>
      <c r="B822" s="1"/>
      <c r="C822" s="64"/>
      <c r="D822" s="64"/>
      <c r="E822" s="64"/>
      <c r="F822" s="64"/>
      <c r="G822" s="64"/>
      <c r="H822" s="64"/>
      <c r="I822" s="32"/>
    </row>
    <row r="823" spans="1:9" ht="12.75">
      <c r="A823" s="32"/>
      <c r="B823" s="1"/>
      <c r="C823" s="64"/>
      <c r="D823" s="64"/>
      <c r="E823" s="64"/>
      <c r="F823" s="64"/>
      <c r="G823" s="64"/>
      <c r="H823" s="64"/>
      <c r="I823" s="32"/>
    </row>
    <row r="824" spans="1:9" ht="12.75">
      <c r="A824" s="32"/>
      <c r="B824" s="1"/>
      <c r="C824" s="64"/>
      <c r="D824" s="64"/>
      <c r="E824" s="64"/>
      <c r="F824" s="64"/>
      <c r="G824" s="64"/>
      <c r="H824" s="64"/>
      <c r="I824" s="32"/>
    </row>
    <row r="825" spans="1:9" ht="12.75">
      <c r="A825" s="32"/>
      <c r="B825" s="1"/>
      <c r="C825" s="64"/>
      <c r="D825" s="64"/>
      <c r="E825" s="64"/>
      <c r="F825" s="64"/>
      <c r="G825" s="64"/>
      <c r="H825" s="64"/>
      <c r="I825" s="32"/>
    </row>
    <row r="826" spans="1:9" ht="12.75">
      <c r="A826" s="32"/>
      <c r="B826" s="1"/>
      <c r="C826" s="64"/>
      <c r="D826" s="64"/>
      <c r="E826" s="64"/>
      <c r="F826" s="64"/>
      <c r="G826" s="64"/>
      <c r="H826" s="64"/>
      <c r="I826" s="32"/>
    </row>
    <row r="827" spans="1:9" ht="12.75">
      <c r="A827" s="32"/>
      <c r="B827" s="1"/>
      <c r="C827" s="64"/>
      <c r="D827" s="64"/>
      <c r="E827" s="64"/>
      <c r="F827" s="64"/>
      <c r="G827" s="64"/>
      <c r="H827" s="64"/>
      <c r="I827" s="32"/>
    </row>
    <row r="828" spans="1:9" ht="12.75">
      <c r="A828" s="32"/>
      <c r="B828" s="1"/>
      <c r="C828" s="64"/>
      <c r="D828" s="64"/>
      <c r="E828" s="64"/>
      <c r="F828" s="64"/>
      <c r="G828" s="64"/>
      <c r="H828" s="64"/>
      <c r="I828" s="32"/>
    </row>
    <row r="829" spans="1:9" ht="12.75">
      <c r="A829" s="32"/>
      <c r="B829" s="1"/>
      <c r="C829" s="64"/>
      <c r="D829" s="64"/>
      <c r="E829" s="64"/>
      <c r="F829" s="64"/>
      <c r="G829" s="64"/>
      <c r="H829" s="64"/>
      <c r="I829" s="32"/>
    </row>
    <row r="830" spans="1:9" ht="12.75">
      <c r="A830" s="32"/>
      <c r="B830" s="1"/>
      <c r="C830" s="64"/>
      <c r="D830" s="64"/>
      <c r="E830" s="64"/>
      <c r="F830" s="64"/>
      <c r="G830" s="64"/>
      <c r="H830" s="64"/>
      <c r="I830" s="32"/>
    </row>
    <row r="831" spans="1:9" ht="12.75">
      <c r="A831" s="32"/>
      <c r="B831" s="1"/>
      <c r="C831" s="64"/>
      <c r="D831" s="64"/>
      <c r="E831" s="64"/>
      <c r="F831" s="64"/>
      <c r="G831" s="64"/>
      <c r="H831" s="64"/>
      <c r="I831" s="32"/>
    </row>
    <row r="832" spans="1:9" ht="12.75">
      <c r="A832" s="32"/>
      <c r="B832" s="1"/>
      <c r="C832" s="64"/>
      <c r="D832" s="64"/>
      <c r="E832" s="64"/>
      <c r="F832" s="64"/>
      <c r="G832" s="64"/>
      <c r="H832" s="64"/>
      <c r="I832" s="32"/>
    </row>
    <row r="833" spans="1:9" ht="12.75">
      <c r="A833" s="32"/>
      <c r="B833" s="1"/>
      <c r="C833" s="64"/>
      <c r="D833" s="64"/>
      <c r="E833" s="64"/>
      <c r="F833" s="64"/>
      <c r="G833" s="64"/>
      <c r="H833" s="64"/>
      <c r="I833" s="32"/>
    </row>
    <row r="834" spans="1:9" ht="12.75">
      <c r="A834" s="32"/>
      <c r="B834" s="1"/>
      <c r="C834" s="64"/>
      <c r="D834" s="64"/>
      <c r="E834" s="64"/>
      <c r="F834" s="64"/>
      <c r="G834" s="64"/>
      <c r="H834" s="64"/>
      <c r="I834" s="32"/>
    </row>
    <row r="835" spans="1:9" ht="12.75">
      <c r="A835" s="32"/>
      <c r="B835" s="1"/>
      <c r="C835" s="64"/>
      <c r="D835" s="64"/>
      <c r="E835" s="64"/>
      <c r="F835" s="64"/>
      <c r="G835" s="64"/>
      <c r="H835" s="64"/>
      <c r="I835" s="32"/>
    </row>
    <row r="836" spans="1:9" ht="12.75">
      <c r="A836" s="32"/>
      <c r="B836" s="1"/>
      <c r="C836" s="64"/>
      <c r="D836" s="64"/>
      <c r="E836" s="64"/>
      <c r="F836" s="64"/>
      <c r="G836" s="64"/>
      <c r="H836" s="64"/>
      <c r="I836" s="32"/>
    </row>
    <row r="837" spans="1:9" ht="12.75">
      <c r="A837" s="32"/>
      <c r="B837" s="1"/>
      <c r="C837" s="64"/>
      <c r="D837" s="64"/>
      <c r="E837" s="64"/>
      <c r="F837" s="64"/>
      <c r="G837" s="64"/>
      <c r="H837" s="64"/>
      <c r="I837" s="32"/>
    </row>
    <row r="838" spans="1:9" ht="12.75">
      <c r="A838" s="32"/>
      <c r="B838" s="1"/>
      <c r="C838" s="64"/>
      <c r="D838" s="64"/>
      <c r="E838" s="64"/>
      <c r="F838" s="64"/>
      <c r="G838" s="64"/>
      <c r="H838" s="64"/>
      <c r="I838" s="32"/>
    </row>
    <row r="839" spans="1:9" ht="12.75">
      <c r="A839" s="32"/>
      <c r="B839" s="1"/>
      <c r="C839" s="64"/>
      <c r="D839" s="64"/>
      <c r="E839" s="64"/>
      <c r="F839" s="64"/>
      <c r="G839" s="64"/>
      <c r="H839" s="64"/>
      <c r="I839" s="32"/>
    </row>
    <row r="840" spans="1:9" ht="12.75">
      <c r="A840" s="32"/>
      <c r="B840" s="1"/>
      <c r="C840" s="64"/>
      <c r="D840" s="64"/>
      <c r="E840" s="64"/>
      <c r="F840" s="64"/>
      <c r="G840" s="64"/>
      <c r="H840" s="64"/>
      <c r="I840" s="32"/>
    </row>
    <row r="841" spans="1:9" ht="12.75">
      <c r="A841" s="32"/>
      <c r="B841" s="1"/>
      <c r="C841" s="64"/>
      <c r="D841" s="64"/>
      <c r="E841" s="64"/>
      <c r="F841" s="64"/>
      <c r="G841" s="64"/>
      <c r="H841" s="64"/>
      <c r="I841" s="32"/>
    </row>
    <row r="842" spans="1:9" ht="12.75">
      <c r="A842" s="32"/>
      <c r="B842" s="1"/>
      <c r="C842" s="64"/>
      <c r="D842" s="64"/>
      <c r="E842" s="64"/>
      <c r="F842" s="64"/>
      <c r="G842" s="64"/>
      <c r="H842" s="64"/>
      <c r="I842" s="32"/>
    </row>
    <row r="843" spans="1:9" ht="12.75">
      <c r="A843" s="32"/>
      <c r="B843" s="1"/>
      <c r="C843" s="64"/>
      <c r="D843" s="64"/>
      <c r="E843" s="64"/>
      <c r="F843" s="64"/>
      <c r="G843" s="64"/>
      <c r="H843" s="64"/>
      <c r="I843" s="32"/>
    </row>
    <row r="844" spans="1:9" ht="12.75">
      <c r="A844" s="32"/>
      <c r="B844" s="1"/>
      <c r="C844" s="64"/>
      <c r="D844" s="64"/>
      <c r="E844" s="64"/>
      <c r="F844" s="64"/>
      <c r="G844" s="64"/>
      <c r="H844" s="64"/>
      <c r="I844" s="32"/>
    </row>
    <row r="845" spans="1:9" ht="12.75">
      <c r="A845" s="32"/>
      <c r="B845" s="1"/>
      <c r="C845" s="64"/>
      <c r="D845" s="64"/>
      <c r="E845" s="64"/>
      <c r="F845" s="64"/>
      <c r="G845" s="64"/>
      <c r="H845" s="64"/>
      <c r="I845" s="32"/>
    </row>
    <row r="846" spans="1:9" ht="12.75">
      <c r="A846" s="32"/>
      <c r="B846" s="1"/>
      <c r="C846" s="64"/>
      <c r="D846" s="64"/>
      <c r="E846" s="64"/>
      <c r="F846" s="64"/>
      <c r="G846" s="64"/>
      <c r="H846" s="64"/>
      <c r="I846" s="32"/>
    </row>
    <row r="847" spans="1:9" ht="12.75">
      <c r="A847" s="32"/>
      <c r="B847" s="1"/>
      <c r="C847" s="64"/>
      <c r="D847" s="64"/>
      <c r="E847" s="64"/>
      <c r="F847" s="64"/>
      <c r="G847" s="64"/>
      <c r="H847" s="64"/>
      <c r="I847" s="32"/>
    </row>
    <row r="848" spans="1:9" ht="12.75">
      <c r="A848" s="32"/>
      <c r="B848" s="1"/>
      <c r="C848" s="64"/>
      <c r="D848" s="64"/>
      <c r="E848" s="64"/>
      <c r="F848" s="64"/>
      <c r="G848" s="64"/>
      <c r="H848" s="64"/>
      <c r="I848" s="32"/>
    </row>
    <row r="849" spans="1:9" ht="12.75">
      <c r="A849" s="32"/>
      <c r="B849" s="1"/>
      <c r="C849" s="64"/>
      <c r="D849" s="64"/>
      <c r="E849" s="64"/>
      <c r="F849" s="64"/>
      <c r="G849" s="64"/>
      <c r="H849" s="64"/>
      <c r="I849" s="32"/>
    </row>
    <row r="850" spans="1:9" ht="12.75">
      <c r="A850" s="32"/>
      <c r="B850" s="1"/>
      <c r="C850" s="64"/>
      <c r="D850" s="64"/>
      <c r="E850" s="64"/>
      <c r="F850" s="64"/>
      <c r="G850" s="64"/>
      <c r="H850" s="64"/>
      <c r="I850" s="32"/>
    </row>
    <row r="851" spans="1:9" ht="12.75">
      <c r="A851" s="32"/>
      <c r="B851" s="1"/>
      <c r="C851" s="64"/>
      <c r="D851" s="64"/>
      <c r="E851" s="64"/>
      <c r="F851" s="64"/>
      <c r="G851" s="64"/>
      <c r="H851" s="64"/>
      <c r="I851" s="32"/>
    </row>
    <row r="852" spans="1:9" ht="12.75">
      <c r="A852" s="32"/>
      <c r="B852" s="1"/>
      <c r="C852" s="64"/>
      <c r="D852" s="64"/>
      <c r="E852" s="64"/>
      <c r="F852" s="64"/>
      <c r="G852" s="64"/>
      <c r="H852" s="64"/>
      <c r="I852" s="32"/>
    </row>
    <row r="853" spans="1:9" ht="12.75">
      <c r="A853" s="32"/>
      <c r="B853" s="1"/>
      <c r="C853" s="64"/>
      <c r="D853" s="64"/>
      <c r="E853" s="64"/>
      <c r="F853" s="64"/>
      <c r="G853" s="64"/>
      <c r="H853" s="64"/>
      <c r="I853" s="32"/>
    </row>
    <row r="854" spans="1:9" ht="12.75">
      <c r="A854" s="32"/>
      <c r="B854" s="1"/>
      <c r="C854" s="64"/>
      <c r="D854" s="64"/>
      <c r="E854" s="64"/>
      <c r="F854" s="64"/>
      <c r="G854" s="64"/>
      <c r="H854" s="64"/>
      <c r="I854" s="32"/>
    </row>
    <row r="855" spans="1:9" ht="12.75">
      <c r="A855" s="32"/>
      <c r="B855" s="1"/>
      <c r="C855" s="64"/>
      <c r="D855" s="64"/>
      <c r="E855" s="64"/>
      <c r="F855" s="64"/>
      <c r="G855" s="64"/>
      <c r="H855" s="64"/>
      <c r="I855" s="32"/>
    </row>
    <row r="856" spans="1:9" ht="12.75">
      <c r="A856" s="32"/>
      <c r="B856" s="1"/>
      <c r="C856" s="64"/>
      <c r="D856" s="64"/>
      <c r="E856" s="64"/>
      <c r="F856" s="64"/>
      <c r="G856" s="64"/>
      <c r="H856" s="64"/>
      <c r="I856" s="32"/>
    </row>
    <row r="857" spans="1:9" ht="12.75">
      <c r="A857" s="32"/>
      <c r="B857" s="1"/>
      <c r="C857" s="64"/>
      <c r="D857" s="64"/>
      <c r="E857" s="64"/>
      <c r="F857" s="64"/>
      <c r="G857" s="64"/>
      <c r="H857" s="64"/>
      <c r="I857" s="32"/>
    </row>
    <row r="858" spans="1:9" ht="12.75">
      <c r="A858" s="32"/>
      <c r="B858" s="1"/>
      <c r="C858" s="64"/>
      <c r="D858" s="64"/>
      <c r="E858" s="64"/>
      <c r="F858" s="64"/>
      <c r="G858" s="64"/>
      <c r="H858" s="64"/>
      <c r="I858" s="32"/>
    </row>
    <row r="859" spans="1:9" ht="12.75">
      <c r="A859" s="32"/>
      <c r="B859" s="1"/>
      <c r="C859" s="64"/>
      <c r="D859" s="64"/>
      <c r="E859" s="64"/>
      <c r="F859" s="64"/>
      <c r="G859" s="64"/>
      <c r="H859" s="64"/>
      <c r="I859" s="32"/>
    </row>
    <row r="860" spans="1:9" ht="12.75">
      <c r="A860" s="32"/>
      <c r="B860" s="1"/>
      <c r="C860" s="64"/>
      <c r="D860" s="64"/>
      <c r="E860" s="64"/>
      <c r="F860" s="64"/>
      <c r="G860" s="64"/>
      <c r="H860" s="64"/>
      <c r="I860" s="32"/>
    </row>
    <row r="861" spans="1:9" ht="12.75">
      <c r="A861" s="32"/>
      <c r="B861" s="1"/>
      <c r="C861" s="64"/>
      <c r="D861" s="64"/>
      <c r="E861" s="64"/>
      <c r="F861" s="64"/>
      <c r="G861" s="64"/>
      <c r="H861" s="64"/>
      <c r="I861" s="32"/>
    </row>
    <row r="862" spans="1:9" ht="12.75">
      <c r="A862" s="32"/>
      <c r="B862" s="1"/>
      <c r="C862" s="64"/>
      <c r="D862" s="64"/>
      <c r="E862" s="64"/>
      <c r="F862" s="64"/>
      <c r="G862" s="64"/>
      <c r="H862" s="64"/>
      <c r="I862" s="32"/>
    </row>
    <row r="863" spans="1:9" ht="12.75">
      <c r="A863" s="32"/>
      <c r="B863" s="1"/>
      <c r="C863" s="64"/>
      <c r="D863" s="64"/>
      <c r="E863" s="64"/>
      <c r="F863" s="64"/>
      <c r="G863" s="64"/>
      <c r="H863" s="64"/>
      <c r="I863" s="32"/>
    </row>
    <row r="864" spans="1:9" ht="12.75">
      <c r="A864" s="32"/>
      <c r="B864" s="1"/>
      <c r="C864" s="64"/>
      <c r="D864" s="64"/>
      <c r="E864" s="64"/>
      <c r="F864" s="64"/>
      <c r="G864" s="64"/>
      <c r="H864" s="64"/>
      <c r="I864" s="32"/>
    </row>
    <row r="865" spans="1:9" ht="12.75">
      <c r="A865" s="32"/>
      <c r="B865" s="1"/>
      <c r="C865" s="64"/>
      <c r="D865" s="64"/>
      <c r="E865" s="64"/>
      <c r="F865" s="64"/>
      <c r="G865" s="64"/>
      <c r="H865" s="64"/>
      <c r="I865" s="32"/>
    </row>
    <row r="866" spans="1:9" ht="12.75">
      <c r="A866" s="32"/>
      <c r="B866" s="1"/>
      <c r="C866" s="64"/>
      <c r="D866" s="64"/>
      <c r="E866" s="64"/>
      <c r="F866" s="64"/>
      <c r="G866" s="64"/>
      <c r="H866" s="64"/>
      <c r="I866" s="32"/>
    </row>
    <row r="867" spans="1:9" ht="12.75">
      <c r="A867" s="32"/>
      <c r="B867" s="1"/>
      <c r="C867" s="64"/>
      <c r="D867" s="64"/>
      <c r="E867" s="64"/>
      <c r="F867" s="64"/>
      <c r="G867" s="64"/>
      <c r="H867" s="64"/>
      <c r="I867" s="32"/>
    </row>
    <row r="868" spans="1:9" ht="12.75">
      <c r="A868" s="32"/>
      <c r="B868" s="1"/>
      <c r="C868" s="64"/>
      <c r="D868" s="64"/>
      <c r="E868" s="64"/>
      <c r="F868" s="64"/>
      <c r="G868" s="64"/>
      <c r="H868" s="64"/>
      <c r="I868" s="32"/>
    </row>
    <row r="869" spans="1:9" ht="12.75">
      <c r="A869" s="32"/>
      <c r="B869" s="1"/>
      <c r="C869" s="64"/>
      <c r="D869" s="64"/>
      <c r="E869" s="64"/>
      <c r="F869" s="64"/>
      <c r="G869" s="64"/>
      <c r="H869" s="64"/>
      <c r="I869" s="32"/>
    </row>
    <row r="870" spans="1:9" ht="12.75">
      <c r="A870" s="32"/>
      <c r="B870" s="1"/>
      <c r="C870" s="64"/>
      <c r="D870" s="64"/>
      <c r="E870" s="64"/>
      <c r="F870" s="64"/>
      <c r="G870" s="64"/>
      <c r="H870" s="64"/>
      <c r="I870" s="32"/>
    </row>
    <row r="871" spans="1:9" ht="12.75">
      <c r="A871" s="32"/>
      <c r="B871" s="1"/>
      <c r="C871" s="64"/>
      <c r="D871" s="64"/>
      <c r="E871" s="64"/>
      <c r="F871" s="64"/>
      <c r="G871" s="64"/>
      <c r="H871" s="64"/>
      <c r="I871" s="32"/>
    </row>
    <row r="872" spans="1:9" ht="12.75">
      <c r="A872" s="32"/>
      <c r="B872" s="1"/>
      <c r="C872" s="64"/>
      <c r="D872" s="64"/>
      <c r="E872" s="64"/>
      <c r="F872" s="64"/>
      <c r="G872" s="64"/>
      <c r="H872" s="64"/>
      <c r="I872" s="32"/>
    </row>
    <row r="873" spans="1:9" ht="12.75">
      <c r="A873" s="32"/>
      <c r="B873" s="1"/>
      <c r="C873" s="64"/>
      <c r="D873" s="64"/>
      <c r="E873" s="64"/>
      <c r="F873" s="64"/>
      <c r="G873" s="64"/>
      <c r="H873" s="64"/>
      <c r="I873" s="32"/>
    </row>
    <row r="874" spans="1:9" ht="12.75">
      <c r="A874" s="32"/>
      <c r="B874" s="1"/>
      <c r="C874" s="64"/>
      <c r="D874" s="64"/>
      <c r="E874" s="64"/>
      <c r="F874" s="64"/>
      <c r="G874" s="64"/>
      <c r="H874" s="64"/>
      <c r="I874" s="32"/>
    </row>
    <row r="875" spans="1:9" ht="12.75">
      <c r="A875" s="32"/>
      <c r="B875" s="1"/>
      <c r="C875" s="64"/>
      <c r="D875" s="64"/>
      <c r="E875" s="64"/>
      <c r="F875" s="64"/>
      <c r="G875" s="64"/>
      <c r="H875" s="64"/>
      <c r="I875" s="32"/>
    </row>
    <row r="876" spans="1:9" ht="12.75">
      <c r="A876" s="32"/>
      <c r="B876" s="1"/>
      <c r="C876" s="64"/>
      <c r="D876" s="64"/>
      <c r="E876" s="64"/>
      <c r="F876" s="64"/>
      <c r="G876" s="64"/>
      <c r="H876" s="64"/>
      <c r="I876" s="32"/>
    </row>
    <row r="877" spans="1:9" ht="12.75">
      <c r="A877" s="32"/>
      <c r="B877" s="1"/>
      <c r="C877" s="64"/>
      <c r="D877" s="64"/>
      <c r="E877" s="64"/>
      <c r="F877" s="64"/>
      <c r="G877" s="64"/>
      <c r="H877" s="64"/>
      <c r="I877" s="32"/>
    </row>
    <row r="878" spans="1:9" ht="12.75">
      <c r="A878" s="32"/>
      <c r="B878" s="1"/>
      <c r="C878" s="64"/>
      <c r="D878" s="64"/>
      <c r="E878" s="64"/>
      <c r="F878" s="64"/>
      <c r="G878" s="64"/>
      <c r="H878" s="64"/>
      <c r="I878" s="32"/>
    </row>
    <row r="879" spans="1:9" ht="12.75">
      <c r="A879" s="32"/>
      <c r="B879" s="1"/>
      <c r="C879" s="64"/>
      <c r="D879" s="64"/>
      <c r="E879" s="64"/>
      <c r="F879" s="64"/>
      <c r="G879" s="64"/>
      <c r="H879" s="64"/>
      <c r="I879" s="32"/>
    </row>
    <row r="880" spans="1:9" ht="12.75">
      <c r="A880" s="32"/>
      <c r="B880" s="1"/>
      <c r="C880" s="64"/>
      <c r="D880" s="64"/>
      <c r="E880" s="64"/>
      <c r="F880" s="64"/>
      <c r="G880" s="64"/>
      <c r="H880" s="64"/>
      <c r="I880" s="32"/>
    </row>
    <row r="881" spans="1:9" ht="12.75">
      <c r="A881" s="32"/>
      <c r="B881" s="1"/>
      <c r="C881" s="64"/>
      <c r="D881" s="64"/>
      <c r="E881" s="64"/>
      <c r="F881" s="64"/>
      <c r="G881" s="64"/>
      <c r="H881" s="64"/>
      <c r="I881" s="32"/>
    </row>
    <row r="882" spans="1:9" ht="12.75">
      <c r="A882" s="32"/>
      <c r="B882" s="1"/>
      <c r="C882" s="64"/>
      <c r="D882" s="64"/>
      <c r="E882" s="64"/>
      <c r="F882" s="64"/>
      <c r="G882" s="64"/>
      <c r="H882" s="64"/>
      <c r="I882" s="32"/>
    </row>
    <row r="883" spans="1:9" ht="12.75">
      <c r="A883" s="32"/>
      <c r="B883" s="1"/>
      <c r="C883" s="64"/>
      <c r="D883" s="64"/>
      <c r="E883" s="64"/>
      <c r="F883" s="64"/>
      <c r="G883" s="64"/>
      <c r="H883" s="64"/>
      <c r="I883" s="32"/>
    </row>
    <row r="884" spans="1:9" ht="12.75">
      <c r="A884" s="32"/>
      <c r="B884" s="1"/>
      <c r="C884" s="64"/>
      <c r="D884" s="64"/>
      <c r="E884" s="64"/>
      <c r="F884" s="64"/>
      <c r="G884" s="64"/>
      <c r="H884" s="64"/>
      <c r="I884" s="32"/>
    </row>
    <row r="885" spans="1:9" ht="12.75">
      <c r="A885" s="32"/>
      <c r="B885" s="1"/>
      <c r="C885" s="64"/>
      <c r="D885" s="64"/>
      <c r="E885" s="64"/>
      <c r="F885" s="64"/>
      <c r="G885" s="64"/>
      <c r="H885" s="64"/>
      <c r="I885" s="32"/>
    </row>
    <row r="886" spans="1:9" ht="12.75">
      <c r="A886" s="32"/>
      <c r="B886" s="1"/>
      <c r="C886" s="64"/>
      <c r="D886" s="64"/>
      <c r="E886" s="64"/>
      <c r="F886" s="64"/>
      <c r="G886" s="64"/>
      <c r="H886" s="64"/>
      <c r="I886" s="32"/>
    </row>
    <row r="887" spans="1:9" ht="12.75">
      <c r="A887" s="32"/>
      <c r="B887" s="1"/>
      <c r="C887" s="64"/>
      <c r="D887" s="64"/>
      <c r="E887" s="64"/>
      <c r="F887" s="64"/>
      <c r="G887" s="64"/>
      <c r="H887" s="64"/>
      <c r="I887" s="32"/>
    </row>
    <row r="888" spans="1:9" ht="12.75">
      <c r="A888" s="32"/>
      <c r="B888" s="1"/>
      <c r="C888" s="64"/>
      <c r="D888" s="64"/>
      <c r="E888" s="64"/>
      <c r="F888" s="64"/>
      <c r="G888" s="64"/>
      <c r="H888" s="64"/>
      <c r="I888" s="32"/>
    </row>
    <row r="889" spans="1:9" ht="12.75">
      <c r="A889" s="32"/>
      <c r="B889" s="1"/>
      <c r="C889" s="64"/>
      <c r="D889" s="64"/>
      <c r="E889" s="64"/>
      <c r="F889" s="64"/>
      <c r="G889" s="64"/>
      <c r="H889" s="64"/>
      <c r="I889" s="32"/>
    </row>
    <row r="890" spans="1:9" ht="12.75">
      <c r="A890" s="32"/>
      <c r="B890" s="1"/>
      <c r="C890" s="64"/>
      <c r="D890" s="64"/>
      <c r="E890" s="64"/>
      <c r="F890" s="64"/>
      <c r="G890" s="64"/>
      <c r="H890" s="64"/>
      <c r="I890" s="32"/>
    </row>
    <row r="891" spans="1:9" ht="12.75">
      <c r="A891" s="32"/>
      <c r="B891" s="1"/>
      <c r="C891" s="64"/>
      <c r="D891" s="64"/>
      <c r="E891" s="64"/>
      <c r="F891" s="64"/>
      <c r="G891" s="64"/>
      <c r="H891" s="64"/>
      <c r="I891" s="32"/>
    </row>
    <row r="892" spans="1:9" ht="12.75">
      <c r="A892" s="32"/>
      <c r="B892" s="1"/>
      <c r="C892" s="64"/>
      <c r="D892" s="64"/>
      <c r="E892" s="64"/>
      <c r="F892" s="64"/>
      <c r="G892" s="64"/>
      <c r="H892" s="64"/>
      <c r="I892" s="32"/>
    </row>
    <row r="893" spans="1:9" ht="12.75">
      <c r="A893" s="32"/>
      <c r="B893" s="1"/>
      <c r="C893" s="64"/>
      <c r="D893" s="64"/>
      <c r="E893" s="64"/>
      <c r="F893" s="64"/>
      <c r="G893" s="64"/>
      <c r="H893" s="64"/>
      <c r="I893" s="32"/>
    </row>
    <row r="894" spans="1:9" ht="12.75">
      <c r="A894" s="32"/>
      <c r="B894" s="1"/>
      <c r="C894" s="64"/>
      <c r="D894" s="64"/>
      <c r="E894" s="64"/>
      <c r="F894" s="64"/>
      <c r="G894" s="64"/>
      <c r="H894" s="64"/>
      <c r="I894" s="32"/>
    </row>
    <row r="895" spans="1:9" ht="12.75">
      <c r="A895" s="32"/>
      <c r="B895" s="1"/>
      <c r="C895" s="64"/>
      <c r="D895" s="64"/>
      <c r="E895" s="64"/>
      <c r="F895" s="64"/>
      <c r="G895" s="64"/>
      <c r="H895" s="64"/>
      <c r="I895" s="32"/>
    </row>
    <row r="896" spans="1:9" ht="12.75">
      <c r="A896" s="32"/>
      <c r="B896" s="1"/>
      <c r="C896" s="64"/>
      <c r="D896" s="64"/>
      <c r="E896" s="64"/>
      <c r="F896" s="64"/>
      <c r="G896" s="64"/>
      <c r="H896" s="64"/>
      <c r="I896" s="32"/>
    </row>
    <row r="897" spans="1:9" ht="12.75">
      <c r="A897" s="32"/>
      <c r="B897" s="1"/>
      <c r="C897" s="64"/>
      <c r="D897" s="64"/>
      <c r="E897" s="64"/>
      <c r="F897" s="64"/>
      <c r="G897" s="64"/>
      <c r="H897" s="64"/>
      <c r="I897" s="32"/>
    </row>
    <row r="898" spans="1:9" ht="12.75">
      <c r="A898" s="32"/>
      <c r="B898" s="1"/>
      <c r="C898" s="64"/>
      <c r="D898" s="64"/>
      <c r="E898" s="64"/>
      <c r="F898" s="64"/>
      <c r="G898" s="64"/>
      <c r="H898" s="64"/>
      <c r="I898" s="32"/>
    </row>
    <row r="899" spans="1:9" ht="12.75">
      <c r="A899" s="32"/>
      <c r="B899" s="1"/>
      <c r="C899" s="64"/>
      <c r="D899" s="64"/>
      <c r="E899" s="64"/>
      <c r="F899" s="64"/>
      <c r="G899" s="64"/>
      <c r="H899" s="64"/>
      <c r="I899" s="32"/>
    </row>
    <row r="900" spans="1:9" ht="12.75">
      <c r="A900" s="32"/>
      <c r="B900" s="1"/>
      <c r="C900" s="64"/>
      <c r="D900" s="64"/>
      <c r="E900" s="64"/>
      <c r="F900" s="64"/>
      <c r="G900" s="64"/>
      <c r="H900" s="64"/>
      <c r="I900" s="32"/>
    </row>
    <row r="901" spans="1:9" ht="12.75">
      <c r="A901" s="32"/>
      <c r="B901" s="1"/>
      <c r="C901" s="64"/>
      <c r="D901" s="64"/>
      <c r="E901" s="64"/>
      <c r="F901" s="64"/>
      <c r="G901" s="64"/>
      <c r="H901" s="64"/>
      <c r="I901" s="32"/>
    </row>
    <row r="902" spans="1:9" ht="12.75">
      <c r="A902" s="32"/>
      <c r="B902" s="1"/>
      <c r="C902" s="64"/>
      <c r="D902" s="64"/>
      <c r="E902" s="64"/>
      <c r="F902" s="64"/>
      <c r="G902" s="64"/>
      <c r="H902" s="64"/>
      <c r="I902" s="32"/>
    </row>
    <row r="903" spans="1:9" ht="12.75">
      <c r="A903" s="32"/>
      <c r="B903" s="1"/>
      <c r="C903" s="64"/>
      <c r="D903" s="64"/>
      <c r="E903" s="64"/>
      <c r="F903" s="64"/>
      <c r="G903" s="64"/>
      <c r="H903" s="64"/>
      <c r="I903" s="32"/>
    </row>
    <row r="904" spans="1:9" ht="12.75">
      <c r="A904" s="32"/>
      <c r="B904" s="1"/>
      <c r="C904" s="64"/>
      <c r="D904" s="64"/>
      <c r="E904" s="64"/>
      <c r="F904" s="64"/>
      <c r="G904" s="64"/>
      <c r="H904" s="64"/>
      <c r="I904" s="32"/>
    </row>
    <row r="905" spans="1:9" ht="12.75">
      <c r="A905" s="32"/>
      <c r="B905" s="1"/>
      <c r="C905" s="64"/>
      <c r="D905" s="64"/>
      <c r="E905" s="64"/>
      <c r="F905" s="64"/>
      <c r="G905" s="64"/>
      <c r="H905" s="64"/>
      <c r="I905" s="32"/>
    </row>
    <row r="906" spans="1:9" ht="12.75">
      <c r="A906" s="32"/>
      <c r="B906" s="1"/>
      <c r="C906" s="64"/>
      <c r="D906" s="64"/>
      <c r="E906" s="64"/>
      <c r="F906" s="64"/>
      <c r="G906" s="64"/>
      <c r="H906" s="64"/>
      <c r="I906" s="32"/>
    </row>
    <row r="907" spans="1:9" ht="12.75">
      <c r="A907" s="32"/>
      <c r="B907" s="1"/>
      <c r="C907" s="64"/>
      <c r="D907" s="64"/>
      <c r="E907" s="64"/>
      <c r="F907" s="64"/>
      <c r="G907" s="64"/>
      <c r="H907" s="64"/>
      <c r="I907" s="32"/>
    </row>
    <row r="908" spans="1:9" ht="12.75">
      <c r="A908" s="32"/>
      <c r="B908" s="1"/>
      <c r="C908" s="64"/>
      <c r="D908" s="64"/>
      <c r="E908" s="64"/>
      <c r="F908" s="64"/>
      <c r="G908" s="64"/>
      <c r="H908" s="64"/>
      <c r="I908" s="32"/>
    </row>
    <row r="909" spans="1:9" ht="12.75">
      <c r="A909" s="32"/>
      <c r="B909" s="1"/>
      <c r="C909" s="64"/>
      <c r="D909" s="64"/>
      <c r="E909" s="64"/>
      <c r="F909" s="64"/>
      <c r="G909" s="64"/>
      <c r="H909" s="64"/>
      <c r="I909" s="32"/>
    </row>
    <row r="910" spans="1:9" ht="12.75">
      <c r="A910" s="32"/>
      <c r="B910" s="1"/>
      <c r="C910" s="64"/>
      <c r="D910" s="64"/>
      <c r="E910" s="64"/>
      <c r="F910" s="64"/>
      <c r="G910" s="64"/>
      <c r="H910" s="64"/>
      <c r="I910" s="32"/>
    </row>
    <row r="911" spans="1:9" ht="12.75">
      <c r="A911" s="32"/>
      <c r="B911" s="1"/>
      <c r="C911" s="64"/>
      <c r="D911" s="64"/>
      <c r="E911" s="64"/>
      <c r="F911" s="64"/>
      <c r="G911" s="64"/>
      <c r="H911" s="64"/>
      <c r="I911" s="32"/>
    </row>
    <row r="912" spans="1:9" ht="12.75">
      <c r="A912" s="32"/>
      <c r="B912" s="1"/>
      <c r="C912" s="64"/>
      <c r="D912" s="64"/>
      <c r="E912" s="64"/>
      <c r="F912" s="64"/>
      <c r="G912" s="64"/>
      <c r="H912" s="64"/>
      <c r="I912" s="32"/>
    </row>
    <row r="913" spans="1:9" ht="12.75">
      <c r="A913" s="32"/>
      <c r="B913" s="1"/>
      <c r="C913" s="64"/>
      <c r="D913" s="64"/>
      <c r="E913" s="64"/>
      <c r="F913" s="64"/>
      <c r="G913" s="64"/>
      <c r="H913" s="64"/>
      <c r="I913" s="32"/>
    </row>
    <row r="914" spans="1:9" ht="12.75">
      <c r="A914" s="32"/>
      <c r="B914" s="1"/>
      <c r="C914" s="64"/>
      <c r="D914" s="64"/>
      <c r="E914" s="64"/>
      <c r="F914" s="64"/>
      <c r="G914" s="64"/>
      <c r="H914" s="64"/>
      <c r="I914" s="32"/>
    </row>
    <row r="915" spans="1:9" ht="12.75">
      <c r="A915" s="32"/>
      <c r="B915" s="1"/>
      <c r="C915" s="64"/>
      <c r="D915" s="64"/>
      <c r="E915" s="64"/>
      <c r="F915" s="64"/>
      <c r="G915" s="64"/>
      <c r="H915" s="64"/>
      <c r="I915" s="32"/>
    </row>
    <row r="916" spans="1:9" ht="12.75">
      <c r="A916" s="32"/>
      <c r="B916" s="1"/>
      <c r="C916" s="64"/>
      <c r="D916" s="64"/>
      <c r="E916" s="64"/>
      <c r="F916" s="64"/>
      <c r="G916" s="64"/>
      <c r="H916" s="64"/>
      <c r="I916" s="32"/>
    </row>
    <row r="917" spans="1:9" ht="12.75">
      <c r="A917" s="32"/>
      <c r="B917" s="1"/>
      <c r="C917" s="64"/>
      <c r="D917" s="64"/>
      <c r="E917" s="64"/>
      <c r="F917" s="64"/>
      <c r="G917" s="64"/>
      <c r="H917" s="64"/>
      <c r="I917" s="32"/>
    </row>
    <row r="918" spans="1:9" ht="12.75">
      <c r="A918" s="32"/>
      <c r="B918" s="1"/>
      <c r="C918" s="64"/>
      <c r="D918" s="64"/>
      <c r="E918" s="64"/>
      <c r="F918" s="64"/>
      <c r="G918" s="64"/>
      <c r="H918" s="64"/>
      <c r="I918" s="32"/>
    </row>
    <row r="919" spans="1:9" ht="12.75">
      <c r="A919" s="32"/>
      <c r="B919" s="1"/>
      <c r="C919" s="64"/>
      <c r="D919" s="64"/>
      <c r="E919" s="64"/>
      <c r="F919" s="64"/>
      <c r="G919" s="64"/>
      <c r="H919" s="64"/>
      <c r="I919" s="32"/>
    </row>
    <row r="920" spans="1:9" ht="12.75">
      <c r="A920" s="32"/>
      <c r="B920" s="1"/>
      <c r="C920" s="64"/>
      <c r="D920" s="64"/>
      <c r="E920" s="64"/>
      <c r="F920" s="64"/>
      <c r="G920" s="64"/>
      <c r="H920" s="64"/>
      <c r="I920" s="32"/>
    </row>
    <row r="921" spans="1:9" ht="12.75">
      <c r="A921" s="32"/>
      <c r="B921" s="1"/>
      <c r="C921" s="64"/>
      <c r="D921" s="64"/>
      <c r="E921" s="64"/>
      <c r="F921" s="64"/>
      <c r="G921" s="64"/>
      <c r="H921" s="64"/>
      <c r="I921" s="32"/>
    </row>
    <row r="922" spans="1:9" ht="12.75">
      <c r="A922" s="32"/>
      <c r="B922" s="1"/>
      <c r="C922" s="64"/>
      <c r="D922" s="64"/>
      <c r="E922" s="64"/>
      <c r="F922" s="64"/>
      <c r="G922" s="64"/>
      <c r="H922" s="64"/>
      <c r="I922" s="32"/>
    </row>
    <row r="923" spans="1:9" ht="12.75">
      <c r="A923" s="32"/>
      <c r="B923" s="1"/>
      <c r="C923" s="64"/>
      <c r="D923" s="64"/>
      <c r="E923" s="64"/>
      <c r="F923" s="64"/>
      <c r="G923" s="64"/>
      <c r="H923" s="64"/>
      <c r="I923" s="32"/>
    </row>
    <row r="924" spans="1:9" ht="12.75">
      <c r="A924" s="32"/>
      <c r="B924" s="1"/>
      <c r="C924" s="64"/>
      <c r="D924" s="64"/>
      <c r="E924" s="64"/>
      <c r="F924" s="64"/>
      <c r="G924" s="64"/>
      <c r="H924" s="64"/>
      <c r="I924" s="32"/>
    </row>
    <row r="925" spans="1:9" ht="12.75">
      <c r="A925" s="32"/>
      <c r="B925" s="1"/>
      <c r="C925" s="64"/>
      <c r="D925" s="64"/>
      <c r="E925" s="64"/>
      <c r="F925" s="64"/>
      <c r="G925" s="64"/>
      <c r="H925" s="64"/>
      <c r="I925" s="32"/>
    </row>
    <row r="926" spans="1:9" ht="12.75">
      <c r="A926" s="32"/>
      <c r="B926" s="1"/>
      <c r="C926" s="64"/>
      <c r="D926" s="64"/>
      <c r="E926" s="64"/>
      <c r="F926" s="64"/>
      <c r="G926" s="64"/>
      <c r="H926" s="64"/>
      <c r="I926" s="32"/>
    </row>
    <row r="927" spans="1:9" ht="12.75">
      <c r="A927" s="32"/>
      <c r="B927" s="1"/>
      <c r="C927" s="64"/>
      <c r="D927" s="64"/>
      <c r="E927" s="64"/>
      <c r="F927" s="64"/>
      <c r="G927" s="64"/>
      <c r="H927" s="64"/>
      <c r="I927" s="32"/>
    </row>
    <row r="928" spans="1:9" ht="12.75">
      <c r="A928" s="32"/>
      <c r="B928" s="1"/>
      <c r="C928" s="64"/>
      <c r="D928" s="64"/>
      <c r="E928" s="64"/>
      <c r="F928" s="64"/>
      <c r="G928" s="64"/>
      <c r="H928" s="64"/>
      <c r="I928" s="32"/>
    </row>
    <row r="929" spans="1:9" ht="12.75">
      <c r="A929" s="32"/>
      <c r="B929" s="1"/>
      <c r="C929" s="64"/>
      <c r="D929" s="64"/>
      <c r="E929" s="64"/>
      <c r="F929" s="64"/>
      <c r="G929" s="64"/>
      <c r="H929" s="64"/>
      <c r="I929" s="32"/>
    </row>
    <row r="930" spans="1:9" ht="12.75">
      <c r="A930" s="32"/>
      <c r="B930" s="1"/>
      <c r="C930" s="64"/>
      <c r="D930" s="64"/>
      <c r="E930" s="64"/>
      <c r="F930" s="64"/>
      <c r="G930" s="64"/>
      <c r="H930" s="64"/>
      <c r="I930" s="32"/>
    </row>
    <row r="931" spans="1:9" ht="12.75">
      <c r="A931" s="32"/>
      <c r="B931" s="1"/>
      <c r="C931" s="64"/>
      <c r="D931" s="64"/>
      <c r="E931" s="64"/>
      <c r="F931" s="64"/>
      <c r="G931" s="64"/>
      <c r="H931" s="64"/>
      <c r="I931" s="32"/>
    </row>
    <row r="932" spans="1:9" ht="12.75">
      <c r="A932" s="32"/>
      <c r="B932" s="1"/>
      <c r="C932" s="64"/>
      <c r="D932" s="64"/>
      <c r="E932" s="64"/>
      <c r="F932" s="64"/>
      <c r="G932" s="64"/>
      <c r="H932" s="64"/>
      <c r="I932" s="32"/>
    </row>
    <row r="933" spans="1:9" ht="12.75">
      <c r="A933" s="32"/>
      <c r="B933" s="1"/>
      <c r="C933" s="64"/>
      <c r="D933" s="64"/>
      <c r="E933" s="64"/>
      <c r="F933" s="64"/>
      <c r="G933" s="64"/>
      <c r="H933" s="64"/>
      <c r="I933" s="32"/>
    </row>
    <row r="934" spans="1:9" ht="12.75">
      <c r="A934" s="32"/>
      <c r="B934" s="1"/>
      <c r="C934" s="64"/>
      <c r="D934" s="64"/>
      <c r="E934" s="64"/>
      <c r="F934" s="64"/>
      <c r="G934" s="64"/>
      <c r="H934" s="64"/>
      <c r="I934" s="32"/>
    </row>
    <row r="935" spans="1:9" ht="12.75">
      <c r="A935" s="32"/>
      <c r="B935" s="1"/>
      <c r="C935" s="64"/>
      <c r="D935" s="64"/>
      <c r="E935" s="64"/>
      <c r="F935" s="64"/>
      <c r="G935" s="64"/>
      <c r="H935" s="64"/>
      <c r="I935" s="32"/>
    </row>
    <row r="936" spans="1:9" ht="12.75">
      <c r="A936" s="32"/>
      <c r="B936" s="1"/>
      <c r="C936" s="64"/>
      <c r="D936" s="64"/>
      <c r="E936" s="64"/>
      <c r="F936" s="64"/>
      <c r="G936" s="64"/>
      <c r="H936" s="64"/>
      <c r="I936" s="32"/>
    </row>
    <row r="937" spans="1:9" ht="12.75">
      <c r="A937" s="32"/>
      <c r="B937" s="1"/>
      <c r="C937" s="64"/>
      <c r="D937" s="64"/>
      <c r="E937" s="64"/>
      <c r="F937" s="64"/>
      <c r="G937" s="64"/>
      <c r="H937" s="64"/>
      <c r="I937" s="32"/>
    </row>
    <row r="938" spans="1:9" ht="12.75">
      <c r="A938" s="32"/>
      <c r="B938" s="1"/>
      <c r="C938" s="64"/>
      <c r="D938" s="64"/>
      <c r="E938" s="64"/>
      <c r="F938" s="64"/>
      <c r="G938" s="64"/>
      <c r="H938" s="64"/>
      <c r="I938" s="32"/>
    </row>
    <row r="939" spans="1:9" ht="12.75">
      <c r="A939" s="32"/>
      <c r="B939" s="1"/>
      <c r="C939" s="64"/>
      <c r="D939" s="64"/>
      <c r="E939" s="64"/>
      <c r="F939" s="64"/>
      <c r="G939" s="64"/>
      <c r="H939" s="64"/>
      <c r="I939" s="32"/>
    </row>
    <row r="940" spans="1:9" ht="12.75">
      <c r="A940" s="32"/>
      <c r="B940" s="1"/>
      <c r="C940" s="64"/>
      <c r="D940" s="64"/>
      <c r="E940" s="64"/>
      <c r="F940" s="64"/>
      <c r="G940" s="64"/>
      <c r="H940" s="64"/>
      <c r="I940" s="32"/>
    </row>
    <row r="941" spans="1:9" ht="12.75">
      <c r="A941" s="32"/>
      <c r="B941" s="1"/>
      <c r="C941" s="64"/>
      <c r="D941" s="64"/>
      <c r="E941" s="64"/>
      <c r="F941" s="64"/>
      <c r="G941" s="64"/>
      <c r="H941" s="64"/>
      <c r="I941" s="32"/>
    </row>
    <row r="942" spans="1:9" ht="12.75">
      <c r="A942" s="32"/>
      <c r="B942" s="1"/>
      <c r="C942" s="64"/>
      <c r="D942" s="64"/>
      <c r="E942" s="64"/>
      <c r="F942" s="64"/>
      <c r="G942" s="64"/>
      <c r="H942" s="64"/>
      <c r="I942" s="32"/>
    </row>
    <row r="943" spans="1:9" ht="12.75">
      <c r="A943" s="32"/>
      <c r="B943" s="1"/>
      <c r="C943" s="64"/>
      <c r="D943" s="64"/>
      <c r="E943" s="64"/>
      <c r="F943" s="64"/>
      <c r="G943" s="64"/>
      <c r="H943" s="64"/>
      <c r="I943" s="32"/>
    </row>
    <row r="944" spans="1:9" ht="12.75">
      <c r="A944" s="32"/>
      <c r="B944" s="1"/>
      <c r="C944" s="64"/>
      <c r="D944" s="64"/>
      <c r="E944" s="64"/>
      <c r="F944" s="64"/>
      <c r="G944" s="64"/>
      <c r="H944" s="64"/>
      <c r="I944" s="32"/>
    </row>
    <row r="945" spans="1:9" ht="12.75">
      <c r="A945" s="32"/>
      <c r="B945" s="1"/>
      <c r="C945" s="64"/>
      <c r="D945" s="64"/>
      <c r="E945" s="64"/>
      <c r="F945" s="64"/>
      <c r="G945" s="64"/>
      <c r="H945" s="64"/>
      <c r="I945" s="32"/>
    </row>
    <row r="946" spans="1:9" ht="12.75">
      <c r="A946" s="32"/>
      <c r="B946" s="1"/>
      <c r="C946" s="64"/>
      <c r="D946" s="64"/>
      <c r="E946" s="64"/>
      <c r="F946" s="64"/>
      <c r="G946" s="64"/>
      <c r="H946" s="64"/>
      <c r="I946" s="32"/>
    </row>
    <row r="947" spans="1:9" ht="12.75">
      <c r="A947" s="32"/>
      <c r="B947" s="1"/>
      <c r="C947" s="64"/>
      <c r="D947" s="64"/>
      <c r="E947" s="64"/>
      <c r="F947" s="64"/>
      <c r="G947" s="64"/>
      <c r="H947" s="64"/>
      <c r="I947" s="32"/>
    </row>
    <row r="948" spans="1:9" ht="12.75">
      <c r="A948" s="32"/>
      <c r="B948" s="1"/>
      <c r="C948" s="64"/>
      <c r="D948" s="64"/>
      <c r="E948" s="64"/>
      <c r="F948" s="64"/>
      <c r="G948" s="64"/>
      <c r="H948" s="64"/>
      <c r="I948" s="32"/>
    </row>
    <row r="949" spans="1:9" ht="12.75">
      <c r="A949" s="32"/>
      <c r="B949" s="1"/>
      <c r="C949" s="64"/>
      <c r="D949" s="64"/>
      <c r="E949" s="64"/>
      <c r="F949" s="64"/>
      <c r="G949" s="64"/>
      <c r="H949" s="64"/>
      <c r="I949" s="32"/>
    </row>
    <row r="950" spans="1:9" ht="12.75">
      <c r="A950" s="32"/>
      <c r="B950" s="1"/>
      <c r="C950" s="64"/>
      <c r="D950" s="64"/>
      <c r="E950" s="64"/>
      <c r="F950" s="64"/>
      <c r="G950" s="64"/>
      <c r="H950" s="64"/>
      <c r="I950" s="32"/>
    </row>
    <row r="951" spans="1:9" ht="12.75">
      <c r="A951" s="32"/>
      <c r="B951" s="1"/>
      <c r="C951" s="64"/>
      <c r="D951" s="64"/>
      <c r="E951" s="64"/>
      <c r="F951" s="64"/>
      <c r="G951" s="64"/>
      <c r="H951" s="64"/>
      <c r="I951" s="32"/>
    </row>
    <row r="952" spans="1:9" ht="12.75">
      <c r="A952" s="32"/>
      <c r="B952" s="1"/>
      <c r="C952" s="64"/>
      <c r="D952" s="64"/>
      <c r="E952" s="64"/>
      <c r="F952" s="64"/>
      <c r="G952" s="64"/>
      <c r="H952" s="64"/>
      <c r="I952" s="32"/>
    </row>
    <row r="953" spans="1:9" ht="12.75">
      <c r="A953" s="32"/>
      <c r="B953" s="1"/>
      <c r="C953" s="64"/>
      <c r="D953" s="64"/>
      <c r="E953" s="64"/>
      <c r="F953" s="64"/>
      <c r="G953" s="64"/>
      <c r="H953" s="64"/>
      <c r="I953" s="32"/>
    </row>
    <row r="954" spans="1:9" ht="12.75">
      <c r="A954" s="32"/>
      <c r="B954" s="1"/>
      <c r="C954" s="64"/>
      <c r="D954" s="64"/>
      <c r="E954" s="64"/>
      <c r="F954" s="64"/>
      <c r="G954" s="64"/>
      <c r="H954" s="64"/>
      <c r="I954" s="32"/>
    </row>
    <row r="955" spans="1:9" ht="12.75">
      <c r="A955" s="32"/>
      <c r="B955" s="1"/>
      <c r="C955" s="64"/>
      <c r="D955" s="64"/>
      <c r="E955" s="64"/>
      <c r="F955" s="64"/>
      <c r="G955" s="64"/>
      <c r="H955" s="64"/>
      <c r="I955" s="32"/>
    </row>
    <row r="956" spans="1:9" ht="12.75">
      <c r="A956" s="32"/>
      <c r="B956" s="1"/>
      <c r="C956" s="64"/>
      <c r="D956" s="64"/>
      <c r="E956" s="64"/>
      <c r="F956" s="64"/>
      <c r="G956" s="64"/>
      <c r="H956" s="64"/>
      <c r="I956" s="32"/>
    </row>
    <row r="957" spans="1:9" ht="12.75">
      <c r="A957" s="32"/>
      <c r="B957" s="1"/>
      <c r="C957" s="64"/>
      <c r="D957" s="64"/>
      <c r="E957" s="64"/>
      <c r="F957" s="64"/>
      <c r="G957" s="64"/>
      <c r="H957" s="64"/>
      <c r="I957" s="32"/>
    </row>
    <row r="958" spans="1:9" ht="12.75">
      <c r="A958" s="32"/>
      <c r="B958" s="1"/>
      <c r="C958" s="64"/>
      <c r="D958" s="64"/>
      <c r="E958" s="64"/>
      <c r="F958" s="64"/>
      <c r="G958" s="64"/>
      <c r="H958" s="64"/>
      <c r="I958" s="32"/>
    </row>
    <row r="959" spans="1:9" ht="12.75">
      <c r="A959" s="32"/>
      <c r="B959" s="1"/>
      <c r="C959" s="64"/>
      <c r="D959" s="64"/>
      <c r="E959" s="64"/>
      <c r="F959" s="64"/>
      <c r="G959" s="64"/>
      <c r="H959" s="64"/>
      <c r="I959" s="32"/>
    </row>
    <row r="960" spans="1:9" ht="12.75">
      <c r="A960" s="32"/>
      <c r="B960" s="1"/>
      <c r="C960" s="64"/>
      <c r="D960" s="64"/>
      <c r="E960" s="64"/>
      <c r="F960" s="64"/>
      <c r="G960" s="64"/>
      <c r="H960" s="64"/>
      <c r="I960" s="32"/>
    </row>
    <row r="961" spans="1:9" ht="12.75">
      <c r="A961" s="32"/>
      <c r="B961" s="1"/>
      <c r="C961" s="64"/>
      <c r="D961" s="64"/>
      <c r="E961" s="64"/>
      <c r="F961" s="64"/>
      <c r="G961" s="64"/>
      <c r="H961" s="64"/>
      <c r="I961" s="32"/>
    </row>
    <row r="962" spans="1:9" ht="12.75">
      <c r="A962" s="32"/>
      <c r="B962" s="1"/>
      <c r="C962" s="64"/>
      <c r="D962" s="64"/>
      <c r="E962" s="64"/>
      <c r="F962" s="64"/>
      <c r="G962" s="64"/>
      <c r="H962" s="64"/>
      <c r="I962" s="32"/>
    </row>
    <row r="963" spans="1:9" ht="12.75">
      <c r="A963" s="32"/>
      <c r="B963" s="1"/>
      <c r="C963" s="64"/>
      <c r="D963" s="64"/>
      <c r="E963" s="64"/>
      <c r="F963" s="64"/>
      <c r="G963" s="64"/>
      <c r="H963" s="64"/>
      <c r="I963" s="32"/>
    </row>
    <row r="964" spans="1:9" ht="12.75">
      <c r="A964" s="32"/>
      <c r="B964" s="1"/>
      <c r="C964" s="64"/>
      <c r="D964" s="64"/>
      <c r="E964" s="64"/>
      <c r="F964" s="64"/>
      <c r="G964" s="64"/>
      <c r="H964" s="64"/>
      <c r="I964" s="32"/>
    </row>
    <row r="965" spans="1:9" ht="12.75">
      <c r="A965" s="32"/>
      <c r="B965" s="1"/>
      <c r="C965" s="64"/>
      <c r="D965" s="64"/>
      <c r="E965" s="64"/>
      <c r="F965" s="64"/>
      <c r="G965" s="64"/>
      <c r="H965" s="64"/>
      <c r="I965" s="32"/>
    </row>
    <row r="966" spans="1:9" ht="12.75">
      <c r="A966" s="32"/>
      <c r="B966" s="1"/>
      <c r="C966" s="64"/>
      <c r="D966" s="64"/>
      <c r="E966" s="64"/>
      <c r="F966" s="64"/>
      <c r="G966" s="64"/>
      <c r="H966" s="64"/>
      <c r="I966" s="32"/>
    </row>
    <row r="967" spans="1:9" ht="12.75">
      <c r="A967" s="32"/>
      <c r="B967" s="1"/>
      <c r="C967" s="64"/>
      <c r="D967" s="64"/>
      <c r="E967" s="64"/>
      <c r="F967" s="64"/>
      <c r="G967" s="64"/>
      <c r="H967" s="64"/>
      <c r="I967" s="32"/>
    </row>
    <row r="968" spans="1:9" ht="12.75">
      <c r="A968" s="32"/>
      <c r="B968" s="1"/>
      <c r="C968" s="64"/>
      <c r="D968" s="64"/>
      <c r="E968" s="64"/>
      <c r="F968" s="64"/>
      <c r="G968" s="64"/>
      <c r="H968" s="64"/>
      <c r="I968" s="32"/>
    </row>
    <row r="969" spans="1:9" ht="12.75">
      <c r="A969" s="32"/>
      <c r="B969" s="1"/>
      <c r="C969" s="64"/>
      <c r="D969" s="64"/>
      <c r="E969" s="64"/>
      <c r="F969" s="64"/>
      <c r="G969" s="64"/>
      <c r="H969" s="64"/>
      <c r="I969" s="32"/>
    </row>
    <row r="970" spans="1:9" ht="12.75">
      <c r="A970" s="32"/>
      <c r="B970" s="1"/>
      <c r="C970" s="64"/>
      <c r="D970" s="64"/>
      <c r="E970" s="64"/>
      <c r="F970" s="64"/>
      <c r="G970" s="64"/>
      <c r="H970" s="64"/>
      <c r="I970" s="32"/>
    </row>
    <row r="971" spans="1:9" ht="12.75">
      <c r="A971" s="32"/>
      <c r="B971" s="1"/>
      <c r="C971" s="64"/>
      <c r="D971" s="64"/>
      <c r="E971" s="64"/>
      <c r="F971" s="64"/>
      <c r="G971" s="64"/>
      <c r="H971" s="64"/>
      <c r="I971" s="32"/>
    </row>
    <row r="972" spans="1:9" ht="12.75">
      <c r="A972" s="32"/>
      <c r="B972" s="1"/>
      <c r="C972" s="64"/>
      <c r="D972" s="64"/>
      <c r="E972" s="64"/>
      <c r="F972" s="64"/>
      <c r="G972" s="64"/>
      <c r="H972" s="64"/>
      <c r="I972" s="32"/>
    </row>
    <row r="973" spans="1:9" ht="12.75">
      <c r="A973" s="32"/>
      <c r="B973" s="1"/>
      <c r="C973" s="64"/>
      <c r="D973" s="64"/>
      <c r="E973" s="64"/>
      <c r="F973" s="64"/>
      <c r="G973" s="64"/>
      <c r="H973" s="64"/>
      <c r="I973" s="32"/>
    </row>
    <row r="974" spans="1:9" ht="12.75">
      <c r="A974" s="32"/>
      <c r="B974" s="1"/>
      <c r="C974" s="64"/>
      <c r="D974" s="64"/>
      <c r="E974" s="64"/>
      <c r="F974" s="64"/>
      <c r="G974" s="64"/>
      <c r="H974" s="64"/>
      <c r="I974" s="32"/>
    </row>
    <row r="975" spans="1:9" ht="12.75">
      <c r="A975" s="32"/>
      <c r="B975" s="1"/>
      <c r="C975" s="64"/>
      <c r="D975" s="64"/>
      <c r="E975" s="64"/>
      <c r="F975" s="64"/>
      <c r="G975" s="64"/>
      <c r="H975" s="64"/>
      <c r="I975" s="32"/>
    </row>
    <row r="976" spans="1:9" ht="12.75">
      <c r="A976" s="32"/>
      <c r="B976" s="1"/>
      <c r="C976" s="64"/>
      <c r="D976" s="64"/>
      <c r="E976" s="64"/>
      <c r="F976" s="64"/>
      <c r="G976" s="64"/>
      <c r="H976" s="64"/>
      <c r="I976" s="32"/>
    </row>
    <row r="977" spans="1:9" ht="12.75">
      <c r="A977" s="32"/>
      <c r="B977" s="1"/>
      <c r="C977" s="64"/>
      <c r="D977" s="64"/>
      <c r="E977" s="64"/>
      <c r="F977" s="64"/>
      <c r="G977" s="64"/>
      <c r="H977" s="64"/>
      <c r="I977" s="32"/>
    </row>
    <row r="978" spans="1:9" ht="12.75">
      <c r="A978" s="32"/>
      <c r="B978" s="1"/>
      <c r="C978" s="64"/>
      <c r="D978" s="64"/>
      <c r="E978" s="64"/>
      <c r="F978" s="64"/>
      <c r="G978" s="64"/>
      <c r="H978" s="64"/>
      <c r="I978" s="32"/>
    </row>
    <row r="979" spans="1:9" ht="12.75">
      <c r="A979" s="32"/>
      <c r="B979" s="1"/>
      <c r="C979" s="64"/>
      <c r="D979" s="64"/>
      <c r="E979" s="64"/>
      <c r="F979" s="64"/>
      <c r="G979" s="64"/>
      <c r="H979" s="64"/>
      <c r="I979" s="32"/>
    </row>
    <row r="980" spans="1:9" ht="12.75">
      <c r="A980" s="32"/>
      <c r="B980" s="1"/>
      <c r="C980" s="64"/>
      <c r="D980" s="64"/>
      <c r="E980" s="64"/>
      <c r="F980" s="64"/>
      <c r="G980" s="64"/>
      <c r="H980" s="64"/>
      <c r="I980" s="32"/>
    </row>
    <row r="981" spans="1:9" ht="12.75">
      <c r="A981" s="32"/>
      <c r="B981" s="1"/>
      <c r="C981" s="64"/>
      <c r="D981" s="64"/>
      <c r="E981" s="64"/>
      <c r="F981" s="64"/>
      <c r="G981" s="64"/>
      <c r="H981" s="64"/>
      <c r="I981" s="32"/>
    </row>
    <row r="982" spans="1:9" ht="12.75">
      <c r="A982" s="32"/>
      <c r="B982" s="1"/>
      <c r="C982" s="64"/>
      <c r="D982" s="64"/>
      <c r="E982" s="64"/>
      <c r="F982" s="64"/>
      <c r="G982" s="64"/>
      <c r="H982" s="64"/>
      <c r="I982" s="32"/>
    </row>
    <row r="983" spans="1:9" ht="12.75">
      <c r="A983" s="32"/>
      <c r="B983" s="1"/>
      <c r="C983" s="64"/>
      <c r="D983" s="64"/>
      <c r="E983" s="64"/>
      <c r="F983" s="64"/>
      <c r="G983" s="64"/>
      <c r="H983" s="64"/>
      <c r="I983" s="32"/>
    </row>
    <row r="984" spans="1:9" ht="12.75">
      <c r="A984" s="32"/>
      <c r="B984" s="1"/>
      <c r="C984" s="64"/>
      <c r="D984" s="64"/>
      <c r="E984" s="64"/>
      <c r="F984" s="64"/>
      <c r="G984" s="64"/>
      <c r="H984" s="64"/>
      <c r="I984" s="32"/>
    </row>
    <row r="985" spans="1:9" ht="12.75">
      <c r="A985" s="32"/>
      <c r="B985" s="1"/>
      <c r="C985" s="64"/>
      <c r="D985" s="64"/>
      <c r="E985" s="64"/>
      <c r="F985" s="64"/>
      <c r="G985" s="64"/>
      <c r="H985" s="64"/>
      <c r="I985" s="32"/>
    </row>
    <row r="986" spans="1:9" ht="12.75">
      <c r="A986" s="32"/>
      <c r="B986" s="1"/>
      <c r="C986" s="64"/>
      <c r="D986" s="64"/>
      <c r="E986" s="64"/>
      <c r="F986" s="64"/>
      <c r="G986" s="64"/>
      <c r="H986" s="64"/>
      <c r="I986" s="32"/>
    </row>
    <row r="987" spans="1:9" ht="12.75">
      <c r="A987" s="32"/>
      <c r="B987" s="1"/>
      <c r="C987" s="64"/>
      <c r="D987" s="64"/>
      <c r="E987" s="64"/>
      <c r="F987" s="64"/>
      <c r="G987" s="64"/>
      <c r="H987" s="64"/>
      <c r="I987" s="32"/>
    </row>
    <row r="988" spans="1:9" ht="12.75">
      <c r="A988" s="32"/>
      <c r="B988" s="1"/>
      <c r="C988" s="64"/>
      <c r="D988" s="64"/>
      <c r="E988" s="64"/>
      <c r="F988" s="64"/>
      <c r="G988" s="64"/>
      <c r="H988" s="64"/>
      <c r="I988" s="32"/>
    </row>
    <row r="989" spans="1:9" ht="12.75">
      <c r="A989" s="32"/>
      <c r="B989" s="1"/>
      <c r="C989" s="64"/>
      <c r="D989" s="64"/>
      <c r="E989" s="64"/>
      <c r="F989" s="64"/>
      <c r="G989" s="64"/>
      <c r="H989" s="64"/>
      <c r="I989" s="32"/>
    </row>
    <row r="990" spans="1:9" ht="12.75">
      <c r="A990" s="32"/>
      <c r="B990" s="1"/>
      <c r="C990" s="64"/>
      <c r="D990" s="64"/>
      <c r="E990" s="64"/>
      <c r="F990" s="64"/>
      <c r="G990" s="64"/>
      <c r="H990" s="64"/>
      <c r="I990" s="32"/>
    </row>
    <row r="991" spans="1:9" ht="12.75">
      <c r="A991" s="32"/>
      <c r="B991" s="1"/>
      <c r="C991" s="64"/>
      <c r="D991" s="64"/>
      <c r="E991" s="64"/>
      <c r="F991" s="64"/>
      <c r="G991" s="64"/>
      <c r="H991" s="64"/>
      <c r="I991" s="32"/>
    </row>
    <row r="992" spans="1:9" ht="12.75">
      <c r="A992" s="32"/>
      <c r="B992" s="1"/>
      <c r="C992" s="64"/>
      <c r="D992" s="64"/>
      <c r="E992" s="64"/>
      <c r="F992" s="64"/>
      <c r="G992" s="64"/>
      <c r="H992" s="64"/>
      <c r="I992" s="32"/>
    </row>
    <row r="993" spans="1:9" ht="12.75">
      <c r="A993" s="32"/>
      <c r="B993" s="1"/>
      <c r="C993" s="64"/>
      <c r="D993" s="64"/>
      <c r="E993" s="64"/>
      <c r="F993" s="64"/>
      <c r="G993" s="64"/>
      <c r="H993" s="64"/>
      <c r="I993" s="32"/>
    </row>
    <row r="994" spans="1:9" ht="12.75">
      <c r="A994" s="32"/>
      <c r="B994" s="1"/>
      <c r="C994" s="64"/>
      <c r="D994" s="64"/>
      <c r="E994" s="64"/>
      <c r="F994" s="64"/>
      <c r="G994" s="64"/>
      <c r="H994" s="64"/>
      <c r="I994" s="32"/>
    </row>
    <row r="995" spans="1:9" ht="12.75">
      <c r="A995" s="32"/>
      <c r="B995" s="1"/>
      <c r="C995" s="64"/>
      <c r="D995" s="64"/>
      <c r="E995" s="64"/>
      <c r="F995" s="64"/>
      <c r="G995" s="64"/>
      <c r="H995" s="64"/>
      <c r="I995" s="32"/>
    </row>
    <row r="996" spans="1:9" ht="12.75">
      <c r="A996" s="32"/>
      <c r="B996" s="1"/>
      <c r="C996" s="64"/>
      <c r="D996" s="64"/>
      <c r="E996" s="64"/>
      <c r="F996" s="64"/>
      <c r="G996" s="64"/>
      <c r="H996" s="64"/>
      <c r="I996" s="32"/>
    </row>
    <row r="997" spans="1:9" ht="12.75">
      <c r="A997" s="32"/>
      <c r="B997" s="1"/>
      <c r="C997" s="64"/>
      <c r="D997" s="64"/>
      <c r="E997" s="64"/>
      <c r="F997" s="64"/>
      <c r="G997" s="64"/>
      <c r="H997" s="64"/>
      <c r="I997" s="32"/>
    </row>
    <row r="998" spans="1:9" ht="12.75">
      <c r="A998" s="32"/>
      <c r="B998" s="1"/>
      <c r="C998" s="64"/>
      <c r="D998" s="64"/>
      <c r="E998" s="64"/>
      <c r="F998" s="64"/>
      <c r="G998" s="64"/>
      <c r="H998" s="64"/>
      <c r="I998" s="32"/>
    </row>
    <row r="999" spans="1:9" ht="12.75">
      <c r="A999" s="32"/>
      <c r="B999" s="1"/>
      <c r="C999" s="64"/>
      <c r="D999" s="64"/>
      <c r="E999" s="64"/>
      <c r="F999" s="64"/>
      <c r="G999" s="64"/>
      <c r="H999" s="64"/>
      <c r="I999" s="32"/>
    </row>
    <row r="1000" spans="1:9" ht="12.75">
      <c r="A1000" s="32"/>
      <c r="B1000" s="1"/>
      <c r="C1000" s="64"/>
      <c r="D1000" s="64"/>
      <c r="E1000" s="64"/>
      <c r="F1000" s="64"/>
      <c r="G1000" s="64"/>
      <c r="H1000" s="64"/>
      <c r="I1000" s="32"/>
    </row>
  </sheetData>
  <mergeCells count="256">
    <mergeCell ref="F95:G95"/>
    <mergeCell ref="E96:H96"/>
    <mergeCell ref="E85:H85"/>
    <mergeCell ref="D86:H86"/>
    <mergeCell ref="D87:E87"/>
    <mergeCell ref="F87:H87"/>
    <mergeCell ref="I89:I91"/>
    <mergeCell ref="E92:F92"/>
    <mergeCell ref="G92:H92"/>
    <mergeCell ref="D93:E93"/>
    <mergeCell ref="F93:G93"/>
    <mergeCell ref="I93:I94"/>
    <mergeCell ref="D94:E94"/>
    <mergeCell ref="F94:G94"/>
    <mergeCell ref="E80:F80"/>
    <mergeCell ref="D81:E81"/>
    <mergeCell ref="F81:G81"/>
    <mergeCell ref="E72:H72"/>
    <mergeCell ref="E73:H73"/>
    <mergeCell ref="D74:H74"/>
    <mergeCell ref="D75:E75"/>
    <mergeCell ref="F75:H75"/>
    <mergeCell ref="I77:I79"/>
    <mergeCell ref="G80:H80"/>
    <mergeCell ref="F70:G70"/>
    <mergeCell ref="F71:G71"/>
    <mergeCell ref="I65:I67"/>
    <mergeCell ref="E68:F68"/>
    <mergeCell ref="G68:H68"/>
    <mergeCell ref="D69:E69"/>
    <mergeCell ref="F69:G69"/>
    <mergeCell ref="I69:I70"/>
    <mergeCell ref="D70:E70"/>
    <mergeCell ref="E48:H48"/>
    <mergeCell ref="E49:H49"/>
    <mergeCell ref="D50:H50"/>
    <mergeCell ref="D51:E51"/>
    <mergeCell ref="F51:H51"/>
    <mergeCell ref="I53:I55"/>
    <mergeCell ref="G56:H56"/>
    <mergeCell ref="D63:E63"/>
    <mergeCell ref="F63:H63"/>
    <mergeCell ref="I57:I58"/>
    <mergeCell ref="D58:E58"/>
    <mergeCell ref="F58:G58"/>
    <mergeCell ref="F59:G59"/>
    <mergeCell ref="E60:H60"/>
    <mergeCell ref="E61:H61"/>
    <mergeCell ref="D62:H62"/>
    <mergeCell ref="A1:A3"/>
    <mergeCell ref="B1:B3"/>
    <mergeCell ref="C1:I1"/>
    <mergeCell ref="C2:C3"/>
    <mergeCell ref="D2:H2"/>
    <mergeCell ref="A4:A15"/>
    <mergeCell ref="B4:B15"/>
    <mergeCell ref="F46:G46"/>
    <mergeCell ref="F47:G47"/>
    <mergeCell ref="I41:I43"/>
    <mergeCell ref="E44:F44"/>
    <mergeCell ref="G44:H44"/>
    <mergeCell ref="D45:E45"/>
    <mergeCell ref="F45:G45"/>
    <mergeCell ref="I45:I46"/>
    <mergeCell ref="D46:E46"/>
    <mergeCell ref="E142:H142"/>
    <mergeCell ref="E143:H143"/>
    <mergeCell ref="E144:F144"/>
    <mergeCell ref="E146:H146"/>
    <mergeCell ref="E147:H147"/>
    <mergeCell ref="E148:H148"/>
    <mergeCell ref="I2:I3"/>
    <mergeCell ref="I5:I7"/>
    <mergeCell ref="I17:I19"/>
    <mergeCell ref="I21:I22"/>
    <mergeCell ref="E8:F8"/>
    <mergeCell ref="G8:H8"/>
    <mergeCell ref="D9:E9"/>
    <mergeCell ref="F9:G9"/>
    <mergeCell ref="I9:I10"/>
    <mergeCell ref="D10:E10"/>
    <mergeCell ref="F10:G10"/>
    <mergeCell ref="F11:G11"/>
    <mergeCell ref="E12:H12"/>
    <mergeCell ref="E13:H13"/>
    <mergeCell ref="D14:H14"/>
    <mergeCell ref="E56:F56"/>
    <mergeCell ref="D57:E57"/>
    <mergeCell ref="F57:G57"/>
    <mergeCell ref="E131:H131"/>
    <mergeCell ref="E132:H132"/>
    <mergeCell ref="E133:H133"/>
    <mergeCell ref="E134:F134"/>
    <mergeCell ref="E136:H136"/>
    <mergeCell ref="E137:H137"/>
    <mergeCell ref="E138:H138"/>
    <mergeCell ref="E139:F139"/>
    <mergeCell ref="E141:H141"/>
    <mergeCell ref="E119:F119"/>
    <mergeCell ref="E120:F120"/>
    <mergeCell ref="E121:F121"/>
    <mergeCell ref="E122:F122"/>
    <mergeCell ref="E123:F123"/>
    <mergeCell ref="E125:H125"/>
    <mergeCell ref="E126:H126"/>
    <mergeCell ref="E127:H127"/>
    <mergeCell ref="E128:F128"/>
    <mergeCell ref="E189:F189"/>
    <mergeCell ref="E191:H191"/>
    <mergeCell ref="E192:H192"/>
    <mergeCell ref="E202:H202"/>
    <mergeCell ref="E203:H203"/>
    <mergeCell ref="E204:F204"/>
    <mergeCell ref="E193:H193"/>
    <mergeCell ref="E194:F194"/>
    <mergeCell ref="E196:H196"/>
    <mergeCell ref="E197:H197"/>
    <mergeCell ref="E198:H198"/>
    <mergeCell ref="E199:F199"/>
    <mergeCell ref="E201:H201"/>
    <mergeCell ref="E178:H178"/>
    <mergeCell ref="E179:F179"/>
    <mergeCell ref="E181:H181"/>
    <mergeCell ref="E182:H182"/>
    <mergeCell ref="E183:H183"/>
    <mergeCell ref="E184:F184"/>
    <mergeCell ref="E186:H186"/>
    <mergeCell ref="E187:H187"/>
    <mergeCell ref="E188:H188"/>
    <mergeCell ref="E167:H167"/>
    <mergeCell ref="E168:H168"/>
    <mergeCell ref="E169:F169"/>
    <mergeCell ref="E171:H171"/>
    <mergeCell ref="E172:H172"/>
    <mergeCell ref="E173:H173"/>
    <mergeCell ref="E174:F174"/>
    <mergeCell ref="E176:H176"/>
    <mergeCell ref="E177:H177"/>
    <mergeCell ref="I81:I82"/>
    <mergeCell ref="D82:E82"/>
    <mergeCell ref="F82:G82"/>
    <mergeCell ref="F83:G83"/>
    <mergeCell ref="E84:H84"/>
    <mergeCell ref="E110:F110"/>
    <mergeCell ref="E111:F111"/>
    <mergeCell ref="E149:F149"/>
    <mergeCell ref="E151:H151"/>
    <mergeCell ref="E112:F112"/>
    <mergeCell ref="E113:F113"/>
    <mergeCell ref="I110:I116"/>
    <mergeCell ref="I117:I123"/>
    <mergeCell ref="E97:H97"/>
    <mergeCell ref="D98:H98"/>
    <mergeCell ref="D99:E99"/>
    <mergeCell ref="F99:H99"/>
    <mergeCell ref="I100:I104"/>
    <mergeCell ref="I105:I109"/>
    <mergeCell ref="E116:F116"/>
    <mergeCell ref="E114:F114"/>
    <mergeCell ref="E115:F115"/>
    <mergeCell ref="E117:F117"/>
    <mergeCell ref="E118:F118"/>
    <mergeCell ref="I33:I34"/>
    <mergeCell ref="D21:E21"/>
    <mergeCell ref="D22:E22"/>
    <mergeCell ref="A28:A39"/>
    <mergeCell ref="B28:B39"/>
    <mergeCell ref="D33:E33"/>
    <mergeCell ref="D34:E34"/>
    <mergeCell ref="D39:E39"/>
    <mergeCell ref="F33:G33"/>
    <mergeCell ref="F34:G34"/>
    <mergeCell ref="F35:G35"/>
    <mergeCell ref="E36:H36"/>
    <mergeCell ref="E37:H37"/>
    <mergeCell ref="D38:H38"/>
    <mergeCell ref="F39:H39"/>
    <mergeCell ref="F22:G22"/>
    <mergeCell ref="F23:G23"/>
    <mergeCell ref="A16:A27"/>
    <mergeCell ref="B16:B27"/>
    <mergeCell ref="E20:F20"/>
    <mergeCell ref="G20:H20"/>
    <mergeCell ref="F21:G21"/>
    <mergeCell ref="D26:H26"/>
    <mergeCell ref="D27:E27"/>
    <mergeCell ref="F27:H27"/>
    <mergeCell ref="I29:I31"/>
    <mergeCell ref="B140:B144"/>
    <mergeCell ref="B145:B149"/>
    <mergeCell ref="B150:B154"/>
    <mergeCell ref="B155:B159"/>
    <mergeCell ref="B160:B164"/>
    <mergeCell ref="B165:B169"/>
    <mergeCell ref="E24:H24"/>
    <mergeCell ref="E25:H25"/>
    <mergeCell ref="D15:E15"/>
    <mergeCell ref="F15:H15"/>
    <mergeCell ref="E32:F32"/>
    <mergeCell ref="G32:H32"/>
    <mergeCell ref="E152:H152"/>
    <mergeCell ref="E153:H153"/>
    <mergeCell ref="E154:F154"/>
    <mergeCell ref="E156:H156"/>
    <mergeCell ref="E157:H157"/>
    <mergeCell ref="E158:H158"/>
    <mergeCell ref="E159:F159"/>
    <mergeCell ref="G161:H161"/>
    <mergeCell ref="E162:H162"/>
    <mergeCell ref="E163:H163"/>
    <mergeCell ref="E164:F164"/>
    <mergeCell ref="E166:H166"/>
    <mergeCell ref="B130:B134"/>
    <mergeCell ref="A165:A169"/>
    <mergeCell ref="A170:A174"/>
    <mergeCell ref="A175:A179"/>
    <mergeCell ref="A180:A184"/>
    <mergeCell ref="A185:A189"/>
    <mergeCell ref="A190:A194"/>
    <mergeCell ref="A195:A199"/>
    <mergeCell ref="A200:A204"/>
    <mergeCell ref="A130:A134"/>
    <mergeCell ref="A135:A139"/>
    <mergeCell ref="A140:A144"/>
    <mergeCell ref="A145:A149"/>
    <mergeCell ref="A150:A154"/>
    <mergeCell ref="A155:A159"/>
    <mergeCell ref="A160:A164"/>
    <mergeCell ref="B170:B174"/>
    <mergeCell ref="B175:B179"/>
    <mergeCell ref="B180:B184"/>
    <mergeCell ref="B185:B189"/>
    <mergeCell ref="B190:B194"/>
    <mergeCell ref="B195:B199"/>
    <mergeCell ref="B200:B204"/>
    <mergeCell ref="B135:B139"/>
    <mergeCell ref="A100:A104"/>
    <mergeCell ref="A105:A109"/>
    <mergeCell ref="A110:A116"/>
    <mergeCell ref="A117:A123"/>
    <mergeCell ref="A124:A129"/>
    <mergeCell ref="B88:B99"/>
    <mergeCell ref="B100:B104"/>
    <mergeCell ref="B105:B109"/>
    <mergeCell ref="B110:B116"/>
    <mergeCell ref="B117:B123"/>
    <mergeCell ref="B124:B129"/>
    <mergeCell ref="A40:A51"/>
    <mergeCell ref="B40:B51"/>
    <mergeCell ref="A52:A63"/>
    <mergeCell ref="B52:B63"/>
    <mergeCell ref="A64:A75"/>
    <mergeCell ref="B64:B75"/>
    <mergeCell ref="B76:B87"/>
    <mergeCell ref="A76:A87"/>
    <mergeCell ref="A88:A99"/>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5703125" defaultRowHeight="15.75" customHeight="1"/>
  <cols>
    <col min="1" max="1" width="38.5703125" customWidth="1"/>
    <col min="2" max="2" width="10.28515625" customWidth="1"/>
    <col min="3" max="3" width="10.5703125" customWidth="1"/>
    <col min="4" max="4" width="11.140625" customWidth="1"/>
    <col min="5" max="5" width="19.140625" customWidth="1"/>
    <col min="6" max="6" width="17.5703125" customWidth="1"/>
    <col min="7" max="7" width="21.5703125" customWidth="1"/>
    <col min="8" max="8" width="20.140625" customWidth="1"/>
    <col min="9" max="9" width="14.42578125" customWidth="1"/>
    <col min="10" max="10" width="20.5703125" customWidth="1"/>
    <col min="11" max="11" width="25" customWidth="1"/>
    <col min="12" max="12" width="11.28515625" customWidth="1"/>
    <col min="13" max="13" width="10.5703125" customWidth="1"/>
    <col min="14" max="14" width="11.7109375" customWidth="1"/>
  </cols>
  <sheetData>
    <row r="1" spans="1:27" ht="15.75" customHeight="1">
      <c r="A1" s="65"/>
      <c r="G1" s="30"/>
    </row>
    <row r="2" spans="1:27" ht="15.75" customHeight="1">
      <c r="A2" s="65" t="s">
        <v>1343</v>
      </c>
      <c r="B2" s="65" t="s">
        <v>1344</v>
      </c>
      <c r="C2" s="65" t="s">
        <v>1345</v>
      </c>
      <c r="D2" s="65" t="s">
        <v>1346</v>
      </c>
      <c r="E2" s="65" t="s">
        <v>1347</v>
      </c>
      <c r="F2" s="65" t="s">
        <v>1348</v>
      </c>
      <c r="G2" s="65" t="s">
        <v>1349</v>
      </c>
      <c r="H2" s="65" t="s">
        <v>1350</v>
      </c>
      <c r="I2" s="65" t="s">
        <v>1351</v>
      </c>
      <c r="J2" s="65" t="s">
        <v>1352</v>
      </c>
      <c r="K2" s="65" t="s">
        <v>1353</v>
      </c>
      <c r="N2" s="66" t="s">
        <v>1354</v>
      </c>
      <c r="O2" s="66" t="s">
        <v>1355</v>
      </c>
      <c r="P2" s="66" t="s">
        <v>1356</v>
      </c>
      <c r="Q2" s="66"/>
      <c r="R2" s="66"/>
      <c r="S2" s="66"/>
      <c r="T2" s="66" t="s">
        <v>1357</v>
      </c>
      <c r="U2" s="66" t="s">
        <v>1358</v>
      </c>
      <c r="V2" s="66"/>
      <c r="W2" s="66"/>
      <c r="X2" s="66" t="s">
        <v>1359</v>
      </c>
      <c r="Y2" s="66" t="s">
        <v>1360</v>
      </c>
      <c r="Z2" s="66"/>
      <c r="AA2" s="66"/>
    </row>
    <row r="3" spans="1:27" ht="15.75" customHeight="1">
      <c r="A3" s="65" t="s">
        <v>1361</v>
      </c>
      <c r="B3" s="67">
        <v>0.15</v>
      </c>
      <c r="C3" s="67">
        <v>0.2</v>
      </c>
      <c r="D3" s="67">
        <v>0.35</v>
      </c>
      <c r="E3" s="68" t="s">
        <v>671</v>
      </c>
      <c r="F3" s="68" t="s">
        <v>691</v>
      </c>
      <c r="G3" s="69" t="s">
        <v>703</v>
      </c>
      <c r="H3" s="68" t="s">
        <v>597</v>
      </c>
      <c r="I3" s="68" t="s">
        <v>623</v>
      </c>
      <c r="J3" s="68" t="s">
        <v>647</v>
      </c>
      <c r="K3" s="70" t="s">
        <v>1043</v>
      </c>
      <c r="L3" s="71"/>
      <c r="M3" s="71"/>
      <c r="N3" s="66" t="s">
        <v>1361</v>
      </c>
      <c r="O3" s="66" t="s">
        <v>1362</v>
      </c>
      <c r="P3" s="66" t="s">
        <v>1363</v>
      </c>
      <c r="Q3" s="66"/>
      <c r="R3" s="66"/>
      <c r="S3" s="66"/>
      <c r="T3" s="72">
        <v>2</v>
      </c>
      <c r="U3" s="66" t="s">
        <v>1364</v>
      </c>
      <c r="V3" s="66"/>
      <c r="W3" s="66"/>
      <c r="X3" s="72">
        <v>3</v>
      </c>
      <c r="Y3" s="66" t="s">
        <v>1365</v>
      </c>
      <c r="Z3" s="66" t="s">
        <v>1366</v>
      </c>
      <c r="AA3" s="66"/>
    </row>
    <row r="4" spans="1:27" ht="15.75" customHeight="1">
      <c r="A4" s="65" t="s">
        <v>1362</v>
      </c>
      <c r="B4" s="67">
        <v>0.25</v>
      </c>
      <c r="C4" s="67">
        <v>0.35</v>
      </c>
      <c r="D4" s="67">
        <v>0.6</v>
      </c>
      <c r="E4" s="68" t="s">
        <v>673</v>
      </c>
      <c r="F4" s="68" t="s">
        <v>692</v>
      </c>
      <c r="G4" s="69" t="s">
        <v>704</v>
      </c>
      <c r="H4" s="68" t="s">
        <v>601</v>
      </c>
      <c r="I4" s="68" t="s">
        <v>625</v>
      </c>
      <c r="J4" s="68" t="s">
        <v>649</v>
      </c>
      <c r="K4" s="65">
        <v>10</v>
      </c>
      <c r="L4" s="73"/>
      <c r="M4" s="73"/>
      <c r="N4" s="66" t="s">
        <v>1361</v>
      </c>
      <c r="O4" s="66" t="s">
        <v>1367</v>
      </c>
      <c r="P4" s="66" t="s">
        <v>1368</v>
      </c>
      <c r="Q4" s="66"/>
      <c r="R4" s="66"/>
      <c r="S4" s="66"/>
      <c r="T4" s="72">
        <v>3</v>
      </c>
      <c r="U4" s="66" t="s">
        <v>1369</v>
      </c>
      <c r="V4" s="66"/>
      <c r="W4" s="66"/>
      <c r="X4" s="72">
        <v>4</v>
      </c>
      <c r="Y4" s="66" t="s">
        <v>1370</v>
      </c>
      <c r="Z4" s="66" t="s">
        <v>1371</v>
      </c>
      <c r="AA4" s="66"/>
    </row>
    <row r="5" spans="1:27" ht="15.75" customHeight="1">
      <c r="A5" s="65" t="s">
        <v>1367</v>
      </c>
      <c r="B5" s="67">
        <v>0.2</v>
      </c>
      <c r="C5" s="67">
        <v>0.3</v>
      </c>
      <c r="D5" s="67">
        <v>0.5</v>
      </c>
      <c r="E5" s="68" t="s">
        <v>674</v>
      </c>
      <c r="F5" s="68" t="s">
        <v>693</v>
      </c>
      <c r="G5" s="69" t="s">
        <v>705</v>
      </c>
      <c r="H5" s="68" t="s">
        <v>603</v>
      </c>
      <c r="I5" s="68" t="s">
        <v>627</v>
      </c>
      <c r="J5" s="68" t="s">
        <v>651</v>
      </c>
      <c r="K5" s="70" t="s">
        <v>1043</v>
      </c>
      <c r="L5" s="73"/>
      <c r="M5" s="73"/>
      <c r="N5" s="66" t="s">
        <v>1361</v>
      </c>
      <c r="O5" s="66" t="s">
        <v>1372</v>
      </c>
      <c r="P5" s="74"/>
      <c r="Q5" s="66"/>
      <c r="R5" s="66"/>
      <c r="S5" s="66"/>
      <c r="T5" s="66"/>
      <c r="U5" s="66"/>
      <c r="V5" s="66"/>
      <c r="W5" s="66"/>
      <c r="X5" s="72">
        <v>5</v>
      </c>
      <c r="Y5" s="66" t="s">
        <v>1373</v>
      </c>
      <c r="Z5" s="66" t="s">
        <v>1374</v>
      </c>
      <c r="AA5" s="66"/>
    </row>
    <row r="6" spans="1:27" ht="15.75" customHeight="1">
      <c r="A6" s="65" t="s">
        <v>1372</v>
      </c>
      <c r="B6" s="67">
        <v>0.3</v>
      </c>
      <c r="C6" s="67">
        <v>0.5</v>
      </c>
      <c r="D6" s="67">
        <v>0.8</v>
      </c>
      <c r="E6" s="68" t="s">
        <v>676</v>
      </c>
      <c r="F6" s="68" t="s">
        <v>694</v>
      </c>
      <c r="G6" s="69" t="s">
        <v>706</v>
      </c>
      <c r="H6" s="68" t="s">
        <v>605</v>
      </c>
      <c r="I6" s="68" t="s">
        <v>629</v>
      </c>
      <c r="J6" s="68" t="s">
        <v>653</v>
      </c>
      <c r="K6" s="65">
        <v>10</v>
      </c>
      <c r="L6" s="71"/>
      <c r="M6" s="71"/>
      <c r="N6" s="66" t="s">
        <v>1361</v>
      </c>
      <c r="O6" s="66" t="s">
        <v>1375</v>
      </c>
      <c r="P6" s="66"/>
      <c r="Q6" s="66"/>
      <c r="R6" s="66"/>
      <c r="S6" s="66"/>
      <c r="T6" s="66"/>
      <c r="U6" s="66"/>
      <c r="V6" s="66"/>
      <c r="W6" s="66"/>
      <c r="X6" s="72">
        <v>6</v>
      </c>
      <c r="Y6" s="66" t="s">
        <v>1043</v>
      </c>
      <c r="Z6" s="66" t="s">
        <v>1043</v>
      </c>
      <c r="AA6" s="66"/>
    </row>
    <row r="7" spans="1:27" ht="15.75" customHeight="1">
      <c r="A7" s="75" t="s">
        <v>1375</v>
      </c>
      <c r="B7" s="67">
        <v>0.1</v>
      </c>
      <c r="C7" s="67">
        <v>0.15</v>
      </c>
      <c r="D7" s="67">
        <v>0.25</v>
      </c>
      <c r="E7" s="68" t="s">
        <v>678</v>
      </c>
      <c r="F7" s="65" t="s">
        <v>695</v>
      </c>
      <c r="G7" s="68" t="s">
        <v>707</v>
      </c>
      <c r="H7" s="68" t="s">
        <v>607</v>
      </c>
      <c r="I7" s="68" t="s">
        <v>631</v>
      </c>
      <c r="J7" s="68" t="s">
        <v>655</v>
      </c>
      <c r="K7" s="65">
        <v>10</v>
      </c>
      <c r="N7" s="66" t="s">
        <v>1361</v>
      </c>
      <c r="O7" s="66" t="s">
        <v>1376</v>
      </c>
      <c r="P7" s="66"/>
      <c r="Q7" s="66"/>
      <c r="R7" s="66"/>
      <c r="S7" s="66"/>
      <c r="T7" s="66"/>
      <c r="U7" s="66"/>
      <c r="V7" s="66"/>
      <c r="W7" s="66"/>
      <c r="X7" s="72">
        <v>7</v>
      </c>
      <c r="Y7" s="66" t="s">
        <v>1377</v>
      </c>
      <c r="Z7" s="66" t="s">
        <v>1378</v>
      </c>
      <c r="AA7" s="66"/>
    </row>
    <row r="8" spans="1:27" ht="15.75" customHeight="1">
      <c r="A8" s="65" t="s">
        <v>1376</v>
      </c>
      <c r="B8" s="67">
        <v>0.05</v>
      </c>
      <c r="C8" s="67">
        <v>7.0000000000000007E-2</v>
      </c>
      <c r="D8" s="67">
        <v>0.1</v>
      </c>
      <c r="E8" s="69" t="s">
        <v>680</v>
      </c>
      <c r="F8" s="68" t="s">
        <v>696</v>
      </c>
      <c r="G8" s="69" t="s">
        <v>708</v>
      </c>
      <c r="H8" s="68" t="s">
        <v>609</v>
      </c>
      <c r="I8" s="68" t="s">
        <v>633</v>
      </c>
      <c r="J8" s="68" t="s">
        <v>657</v>
      </c>
      <c r="K8" s="65">
        <v>8</v>
      </c>
      <c r="N8" s="66" t="s">
        <v>1361</v>
      </c>
      <c r="O8" s="66" t="s">
        <v>1379</v>
      </c>
      <c r="P8" s="66" t="s">
        <v>1380</v>
      </c>
      <c r="Q8" s="66"/>
      <c r="R8" s="66"/>
      <c r="S8" s="66"/>
      <c r="T8" s="66"/>
      <c r="U8" s="66"/>
      <c r="V8" s="66"/>
      <c r="W8" s="66"/>
      <c r="X8" s="72">
        <v>8</v>
      </c>
      <c r="Y8" s="66" t="s">
        <v>1381</v>
      </c>
      <c r="Z8" s="66" t="s">
        <v>1382</v>
      </c>
      <c r="AA8" s="66"/>
    </row>
    <row r="9" spans="1:27" ht="15.75" customHeight="1">
      <c r="A9" s="65" t="s">
        <v>1379</v>
      </c>
      <c r="B9" s="67">
        <v>0.1</v>
      </c>
      <c r="C9" s="67">
        <v>0.15</v>
      </c>
      <c r="D9" s="67">
        <v>0.25</v>
      </c>
      <c r="E9" s="69" t="s">
        <v>681</v>
      </c>
      <c r="F9" s="68" t="s">
        <v>697</v>
      </c>
      <c r="G9" s="69" t="s">
        <v>709</v>
      </c>
      <c r="H9" s="68" t="s">
        <v>611</v>
      </c>
      <c r="I9" s="68" t="s">
        <v>635</v>
      </c>
      <c r="J9" s="68" t="s">
        <v>1383</v>
      </c>
      <c r="K9" s="65">
        <v>8</v>
      </c>
      <c r="N9" s="66" t="s">
        <v>1361</v>
      </c>
      <c r="O9" s="66" t="s">
        <v>1384</v>
      </c>
      <c r="P9" s="66"/>
      <c r="Q9" s="66"/>
      <c r="R9" s="66"/>
      <c r="S9" s="66"/>
      <c r="T9" s="66"/>
      <c r="U9" s="66"/>
      <c r="V9" s="66"/>
      <c r="W9" s="66"/>
      <c r="X9" s="72">
        <v>9</v>
      </c>
      <c r="Y9" s="66" t="s">
        <v>1385</v>
      </c>
      <c r="Z9" s="66" t="s">
        <v>1386</v>
      </c>
      <c r="AA9" s="66"/>
    </row>
    <row r="10" spans="1:27" ht="15.75" customHeight="1">
      <c r="A10" s="65" t="s">
        <v>1387</v>
      </c>
      <c r="B10" s="67">
        <v>0.1</v>
      </c>
      <c r="C10" s="67">
        <v>0.15</v>
      </c>
      <c r="D10" s="67">
        <v>0.25</v>
      </c>
      <c r="E10" s="69" t="s">
        <v>683</v>
      </c>
      <c r="F10" s="68" t="s">
        <v>698</v>
      </c>
      <c r="G10" s="69" t="s">
        <v>710</v>
      </c>
      <c r="H10" s="68" t="s">
        <v>1388</v>
      </c>
      <c r="I10" s="68" t="s">
        <v>637</v>
      </c>
      <c r="J10" s="68" t="s">
        <v>661</v>
      </c>
      <c r="K10" s="65">
        <v>8</v>
      </c>
      <c r="N10" s="66" t="s">
        <v>1361</v>
      </c>
      <c r="O10" s="66" t="s">
        <v>1389</v>
      </c>
      <c r="P10" s="66"/>
      <c r="Q10" s="66"/>
      <c r="R10" s="66"/>
      <c r="S10" s="66"/>
      <c r="T10" s="66"/>
      <c r="U10" s="66"/>
      <c r="V10" s="66"/>
      <c r="W10" s="66"/>
      <c r="X10" s="66"/>
      <c r="Y10" s="66"/>
      <c r="Z10" s="66"/>
      <c r="AA10" s="66"/>
    </row>
    <row r="11" spans="1:27" ht="15.75" customHeight="1">
      <c r="A11" s="65" t="s">
        <v>1389</v>
      </c>
      <c r="B11" s="67">
        <v>0.15</v>
      </c>
      <c r="C11" s="67">
        <v>0.25</v>
      </c>
      <c r="D11" s="67">
        <v>0.4</v>
      </c>
      <c r="E11" s="69" t="s">
        <v>685</v>
      </c>
      <c r="F11" s="68" t="s">
        <v>699</v>
      </c>
      <c r="G11" s="69" t="s">
        <v>711</v>
      </c>
      <c r="H11" s="68" t="s">
        <v>1390</v>
      </c>
      <c r="I11" s="68" t="s">
        <v>639</v>
      </c>
      <c r="J11" s="68" t="s">
        <v>1391</v>
      </c>
      <c r="K11" s="65">
        <v>8</v>
      </c>
      <c r="N11" s="66" t="s">
        <v>1361</v>
      </c>
      <c r="O11" s="66" t="s">
        <v>1392</v>
      </c>
      <c r="P11" s="66"/>
      <c r="Q11" s="66"/>
      <c r="R11" s="66"/>
      <c r="S11" s="66"/>
      <c r="T11" s="66"/>
      <c r="U11" s="66"/>
      <c r="V11" s="66"/>
      <c r="W11" s="66"/>
      <c r="X11" s="66"/>
      <c r="Y11" s="66"/>
      <c r="Z11" s="66"/>
      <c r="AA11" s="66"/>
    </row>
    <row r="12" spans="1:27" ht="15.75" customHeight="1">
      <c r="A12" s="65" t="s">
        <v>1392</v>
      </c>
      <c r="B12" s="67">
        <v>0.05</v>
      </c>
      <c r="C12" s="67">
        <v>7.0000000000000007E-2</v>
      </c>
      <c r="D12" s="67">
        <v>0.1</v>
      </c>
      <c r="E12" s="68" t="s">
        <v>687</v>
      </c>
      <c r="F12" s="69" t="s">
        <v>700</v>
      </c>
      <c r="G12" s="69" t="s">
        <v>712</v>
      </c>
      <c r="H12" s="68" t="s">
        <v>617</v>
      </c>
      <c r="I12" s="68" t="s">
        <v>641</v>
      </c>
      <c r="J12" s="68" t="s">
        <v>665</v>
      </c>
      <c r="K12" s="65">
        <v>8</v>
      </c>
      <c r="N12" s="66" t="s">
        <v>1361</v>
      </c>
      <c r="O12" s="66" t="s">
        <v>1393</v>
      </c>
      <c r="P12" s="66"/>
      <c r="Q12" s="66"/>
      <c r="R12" s="66"/>
      <c r="S12" s="66"/>
      <c r="T12" s="66" t="s">
        <v>1394</v>
      </c>
      <c r="U12" s="66"/>
      <c r="V12" s="66"/>
      <c r="W12" s="66"/>
      <c r="X12" s="66"/>
      <c r="Y12" s="66"/>
      <c r="Z12" s="66"/>
      <c r="AA12" s="66"/>
    </row>
    <row r="13" spans="1:27" ht="15.75" customHeight="1">
      <c r="A13" s="65" t="s">
        <v>1393</v>
      </c>
      <c r="B13" s="65">
        <v>10</v>
      </c>
      <c r="C13" s="65">
        <v>15</v>
      </c>
      <c r="D13" s="65">
        <v>25</v>
      </c>
      <c r="E13" s="69" t="s">
        <v>688</v>
      </c>
      <c r="F13" s="68" t="s">
        <v>701</v>
      </c>
      <c r="G13" s="69" t="s">
        <v>713</v>
      </c>
      <c r="H13" s="68" t="s">
        <v>619</v>
      </c>
      <c r="I13" s="68" t="s">
        <v>643</v>
      </c>
      <c r="J13" s="68" t="s">
        <v>667</v>
      </c>
      <c r="K13" s="65">
        <v>8</v>
      </c>
      <c r="N13" s="66" t="s">
        <v>1361</v>
      </c>
      <c r="O13" s="66" t="s">
        <v>1395</v>
      </c>
      <c r="P13" s="66"/>
      <c r="Q13" s="66"/>
      <c r="R13" s="66"/>
      <c r="S13" s="66"/>
      <c r="T13" s="117" t="s">
        <v>1396</v>
      </c>
      <c r="U13" s="109"/>
      <c r="V13" s="109"/>
      <c r="W13" s="109"/>
      <c r="X13" s="66"/>
      <c r="Y13" s="66"/>
      <c r="Z13" s="66"/>
      <c r="AA13" s="66"/>
    </row>
    <row r="14" spans="1:27" ht="15.75" customHeight="1">
      <c r="A14" s="65" t="s">
        <v>1395</v>
      </c>
      <c r="B14" s="67">
        <v>0.1</v>
      </c>
      <c r="C14" s="76">
        <v>0.15</v>
      </c>
      <c r="D14" s="76">
        <v>0.25</v>
      </c>
      <c r="E14" s="69" t="s">
        <v>690</v>
      </c>
      <c r="F14" s="68" t="s">
        <v>702</v>
      </c>
      <c r="G14" s="69" t="s">
        <v>714</v>
      </c>
      <c r="H14" s="68" t="s">
        <v>621</v>
      </c>
      <c r="I14" s="68" t="s">
        <v>645</v>
      </c>
      <c r="J14" s="68" t="s">
        <v>669</v>
      </c>
      <c r="K14" s="65">
        <v>8</v>
      </c>
      <c r="N14" s="66" t="s">
        <v>1362</v>
      </c>
      <c r="O14" s="66" t="s">
        <v>1367</v>
      </c>
      <c r="P14" s="66"/>
      <c r="Q14" s="66"/>
      <c r="R14" s="66"/>
      <c r="S14" s="66"/>
      <c r="T14" s="117" t="s">
        <v>1397</v>
      </c>
      <c r="U14" s="109"/>
      <c r="V14" s="109"/>
      <c r="W14" s="109"/>
      <c r="X14" s="66"/>
      <c r="Y14" s="66"/>
      <c r="Z14" s="66"/>
      <c r="AA14" s="66"/>
    </row>
    <row r="15" spans="1:27" ht="15.75" customHeight="1">
      <c r="A15" s="75" t="s">
        <v>1398</v>
      </c>
      <c r="B15" s="65" t="s">
        <v>1399</v>
      </c>
      <c r="C15" s="65"/>
      <c r="F15" s="30"/>
      <c r="N15" s="66" t="s">
        <v>1362</v>
      </c>
      <c r="O15" s="66" t="s">
        <v>1372</v>
      </c>
      <c r="P15" s="66" t="s">
        <v>1400</v>
      </c>
      <c r="Q15" s="66"/>
      <c r="R15" s="66"/>
      <c r="S15" s="66"/>
      <c r="T15" s="66"/>
      <c r="U15" s="66"/>
      <c r="V15" s="66"/>
      <c r="W15" s="66"/>
      <c r="X15" s="66"/>
      <c r="Y15" s="66"/>
      <c r="Z15" s="66"/>
      <c r="AA15" s="66"/>
    </row>
    <row r="16" spans="1:27" ht="15.75" customHeight="1">
      <c r="A16" s="75" t="s">
        <v>1401</v>
      </c>
      <c r="B16" s="65" t="s">
        <v>1343</v>
      </c>
      <c r="C16" s="65" t="s">
        <v>1402</v>
      </c>
      <c r="D16" s="65" t="s">
        <v>1403</v>
      </c>
      <c r="E16" s="65" t="s">
        <v>1404</v>
      </c>
      <c r="F16" s="65" t="s">
        <v>1405</v>
      </c>
      <c r="G16" s="65" t="s">
        <v>1406</v>
      </c>
      <c r="H16" s="65" t="s">
        <v>1407</v>
      </c>
      <c r="I16" s="65" t="s">
        <v>1408</v>
      </c>
      <c r="J16" s="65" t="s">
        <v>1409</v>
      </c>
      <c r="K16" s="65" t="s">
        <v>1410</v>
      </c>
      <c r="L16" s="65" t="s">
        <v>1411</v>
      </c>
      <c r="N16" s="66" t="s">
        <v>1362</v>
      </c>
      <c r="O16" s="66" t="s">
        <v>1375</v>
      </c>
      <c r="P16" s="66"/>
      <c r="Q16" s="66"/>
      <c r="R16" s="66" t="s">
        <v>1412</v>
      </c>
      <c r="S16" s="66"/>
      <c r="T16" s="66"/>
      <c r="U16" s="66"/>
      <c r="V16" s="66"/>
      <c r="W16" s="66"/>
      <c r="X16" s="66"/>
      <c r="Y16" s="66"/>
      <c r="Z16" s="66"/>
      <c r="AA16" s="66"/>
    </row>
    <row r="17" spans="1:27" ht="15.75" customHeight="1">
      <c r="A17" s="65" t="s">
        <v>1413</v>
      </c>
      <c r="B17" s="75" t="s">
        <v>1414</v>
      </c>
      <c r="C17" s="77" t="s">
        <v>1415</v>
      </c>
      <c r="D17" s="69" t="s">
        <v>715</v>
      </c>
      <c r="E17" s="77" t="s">
        <v>1416</v>
      </c>
      <c r="F17" s="69" t="s">
        <v>724</v>
      </c>
      <c r="G17" s="77" t="s">
        <v>1417</v>
      </c>
      <c r="H17" s="69" t="s">
        <v>732</v>
      </c>
      <c r="I17" s="77" t="s">
        <v>1418</v>
      </c>
      <c r="J17" s="69" t="s">
        <v>740</v>
      </c>
      <c r="K17" s="77" t="s">
        <v>1419</v>
      </c>
      <c r="L17" s="69" t="s">
        <v>748</v>
      </c>
      <c r="N17" s="66" t="s">
        <v>1362</v>
      </c>
      <c r="O17" s="66" t="s">
        <v>1376</v>
      </c>
      <c r="P17" s="66"/>
      <c r="Q17" s="66"/>
      <c r="R17" s="66" t="s">
        <v>1420</v>
      </c>
      <c r="S17" s="66"/>
      <c r="T17" s="66"/>
      <c r="U17" s="66"/>
      <c r="V17" s="66"/>
      <c r="W17" s="66"/>
      <c r="X17" s="66"/>
      <c r="Y17" s="66"/>
      <c r="Z17" s="66"/>
      <c r="AA17" s="66"/>
    </row>
    <row r="18" spans="1:27" ht="15.75" customHeight="1">
      <c r="A18" s="75" t="s">
        <v>1421</v>
      </c>
      <c r="B18" s="75" t="s">
        <v>1422</v>
      </c>
      <c r="C18" s="78">
        <v>0.1</v>
      </c>
      <c r="D18" s="69" t="s">
        <v>718</v>
      </c>
      <c r="E18" s="78">
        <v>0.12</v>
      </c>
      <c r="F18" s="69" t="s">
        <v>726</v>
      </c>
      <c r="G18" s="78">
        <v>0.15</v>
      </c>
      <c r="H18" s="79" t="s">
        <v>734</v>
      </c>
      <c r="I18" s="67">
        <v>0.2</v>
      </c>
      <c r="J18" s="69" t="s">
        <v>742</v>
      </c>
      <c r="K18" s="67">
        <v>0.3</v>
      </c>
      <c r="L18" s="69" t="s">
        <v>750</v>
      </c>
      <c r="N18" s="66" t="s">
        <v>1362</v>
      </c>
      <c r="O18" s="66" t="s">
        <v>1379</v>
      </c>
      <c r="P18" s="66" t="s">
        <v>1423</v>
      </c>
      <c r="Q18" s="66"/>
      <c r="R18" s="117" t="s">
        <v>1424</v>
      </c>
      <c r="S18" s="109"/>
      <c r="T18" s="66"/>
      <c r="U18" s="66"/>
      <c r="V18" s="66"/>
      <c r="W18" s="66"/>
      <c r="X18" s="66"/>
      <c r="Y18" s="66"/>
      <c r="Z18" s="66"/>
      <c r="AA18" s="66"/>
    </row>
    <row r="19" spans="1:27" ht="15.75" customHeight="1">
      <c r="A19" s="31" t="s">
        <v>1425</v>
      </c>
      <c r="B19" s="75" t="s">
        <v>1426</v>
      </c>
      <c r="C19" s="70" t="s">
        <v>1427</v>
      </c>
      <c r="D19" s="69" t="s">
        <v>720</v>
      </c>
      <c r="E19" s="70" t="s">
        <v>1428</v>
      </c>
      <c r="F19" s="69" t="s">
        <v>728</v>
      </c>
      <c r="G19" s="70" t="s">
        <v>1429</v>
      </c>
      <c r="H19" s="69" t="s">
        <v>736</v>
      </c>
      <c r="I19" s="70" t="s">
        <v>1430</v>
      </c>
      <c r="J19" s="69" t="s">
        <v>744</v>
      </c>
      <c r="K19" s="70" t="s">
        <v>1431</v>
      </c>
      <c r="L19" s="69" t="s">
        <v>752</v>
      </c>
      <c r="N19" s="66" t="s">
        <v>1362</v>
      </c>
      <c r="O19" s="66" t="s">
        <v>1384</v>
      </c>
      <c r="P19" s="66" t="s">
        <v>1432</v>
      </c>
      <c r="Q19" s="66"/>
      <c r="R19" s="117" t="s">
        <v>1433</v>
      </c>
      <c r="S19" s="109"/>
      <c r="T19" s="66"/>
      <c r="U19" s="66"/>
      <c r="V19" s="66"/>
      <c r="W19" s="66"/>
      <c r="X19" s="66"/>
      <c r="Y19" s="66"/>
      <c r="Z19" s="66"/>
      <c r="AA19" s="66"/>
    </row>
    <row r="20" spans="1:27" ht="15.75" customHeight="1">
      <c r="A20" s="36" t="s">
        <v>1434</v>
      </c>
      <c r="B20" s="75" t="s">
        <v>1435</v>
      </c>
      <c r="C20" s="77" t="s">
        <v>1436</v>
      </c>
      <c r="D20" s="69" t="s">
        <v>722</v>
      </c>
      <c r="E20" s="77" t="s">
        <v>1437</v>
      </c>
      <c r="F20" s="69" t="s">
        <v>730</v>
      </c>
      <c r="G20" s="77" t="s">
        <v>1438</v>
      </c>
      <c r="H20" s="69" t="s">
        <v>738</v>
      </c>
      <c r="I20" s="77" t="s">
        <v>1439</v>
      </c>
      <c r="J20" s="69" t="s">
        <v>746</v>
      </c>
      <c r="K20" s="77" t="s">
        <v>1440</v>
      </c>
      <c r="L20" s="69" t="s">
        <v>754</v>
      </c>
      <c r="N20" s="66" t="s">
        <v>1362</v>
      </c>
      <c r="O20" s="66" t="s">
        <v>1389</v>
      </c>
      <c r="P20" s="66" t="s">
        <v>1441</v>
      </c>
      <c r="Q20" s="66"/>
      <c r="R20" s="117" t="s">
        <v>1442</v>
      </c>
      <c r="S20" s="109"/>
      <c r="T20" s="109"/>
      <c r="U20" s="66"/>
      <c r="V20" s="66"/>
      <c r="W20" s="66"/>
      <c r="X20" s="66"/>
      <c r="Y20" s="66"/>
      <c r="Z20" s="66"/>
      <c r="AA20" s="66"/>
    </row>
    <row r="21" spans="1:27" ht="15.75" customHeight="1">
      <c r="N21" s="66" t="s">
        <v>1362</v>
      </c>
      <c r="O21" s="66" t="s">
        <v>1392</v>
      </c>
      <c r="P21" s="66"/>
      <c r="Q21" s="66"/>
      <c r="R21" s="117" t="s">
        <v>1443</v>
      </c>
      <c r="S21" s="109"/>
      <c r="T21" s="109"/>
      <c r="U21" s="66"/>
      <c r="V21" s="66"/>
      <c r="W21" s="66"/>
      <c r="X21" s="66"/>
      <c r="Y21" s="66"/>
      <c r="Z21" s="66"/>
      <c r="AA21" s="66"/>
    </row>
    <row r="22" spans="1:27" ht="15.75" customHeight="1">
      <c r="A22" s="65" t="s">
        <v>1343</v>
      </c>
      <c r="B22" s="65" t="s">
        <v>1344</v>
      </c>
      <c r="C22" s="65" t="s">
        <v>1345</v>
      </c>
      <c r="D22" s="65" t="s">
        <v>1346</v>
      </c>
      <c r="E22" s="65" t="s">
        <v>1347</v>
      </c>
      <c r="F22" s="65" t="s">
        <v>1348</v>
      </c>
      <c r="G22" s="65" t="s">
        <v>1349</v>
      </c>
      <c r="H22" s="65" t="s">
        <v>1350</v>
      </c>
      <c r="I22" s="65" t="s">
        <v>1351</v>
      </c>
      <c r="J22" s="65" t="s">
        <v>1352</v>
      </c>
      <c r="K22" s="65" t="s">
        <v>1353</v>
      </c>
      <c r="N22" s="66" t="s">
        <v>1362</v>
      </c>
      <c r="O22" s="66" t="s">
        <v>1393</v>
      </c>
      <c r="P22" s="66"/>
      <c r="Q22" s="66"/>
      <c r="R22" s="117" t="s">
        <v>1444</v>
      </c>
      <c r="S22" s="109"/>
      <c r="T22" s="109"/>
      <c r="U22" s="109"/>
      <c r="V22" s="109"/>
      <c r="W22" s="66"/>
      <c r="X22" s="66"/>
      <c r="Y22" s="66"/>
      <c r="Z22" s="66"/>
      <c r="AA22" s="66"/>
    </row>
    <row r="23" spans="1:27" ht="15.75" customHeight="1">
      <c r="A23" s="65" t="s">
        <v>1445</v>
      </c>
      <c r="B23" s="67">
        <v>0.15</v>
      </c>
      <c r="C23" s="67">
        <v>0.2</v>
      </c>
      <c r="D23" s="67">
        <v>0.35</v>
      </c>
      <c r="E23" s="68" t="s">
        <v>671</v>
      </c>
      <c r="F23" s="68" t="s">
        <v>691</v>
      </c>
      <c r="G23" s="69" t="s">
        <v>703</v>
      </c>
      <c r="H23" s="68" t="s">
        <v>597</v>
      </c>
      <c r="I23" s="68" t="s">
        <v>623</v>
      </c>
      <c r="J23" s="68" t="s">
        <v>647</v>
      </c>
      <c r="K23" s="70" t="s">
        <v>1043</v>
      </c>
      <c r="N23" s="66" t="s">
        <v>1362</v>
      </c>
      <c r="O23" s="66" t="s">
        <v>1395</v>
      </c>
      <c r="P23" s="66"/>
      <c r="Q23" s="66"/>
      <c r="R23" s="117" t="s">
        <v>1446</v>
      </c>
      <c r="S23" s="109"/>
      <c r="T23" s="109"/>
      <c r="U23" s="109"/>
      <c r="V23" s="109"/>
      <c r="W23" s="109"/>
      <c r="X23" s="109"/>
      <c r="Y23" s="109"/>
      <c r="Z23" s="109"/>
      <c r="AA23" s="109"/>
    </row>
    <row r="24" spans="1:27" ht="15.75" customHeight="1">
      <c r="A24" s="65" t="s">
        <v>1447</v>
      </c>
      <c r="B24" s="67">
        <v>0.15</v>
      </c>
      <c r="C24" s="67">
        <v>0.2</v>
      </c>
      <c r="D24" s="67">
        <v>0.35</v>
      </c>
      <c r="E24" s="68" t="s">
        <v>673</v>
      </c>
      <c r="F24" s="68" t="s">
        <v>692</v>
      </c>
      <c r="G24" s="69" t="s">
        <v>704</v>
      </c>
      <c r="H24" s="68" t="s">
        <v>601</v>
      </c>
      <c r="I24" s="68" t="s">
        <v>625</v>
      </c>
      <c r="J24" s="68" t="s">
        <v>649</v>
      </c>
      <c r="K24" s="70" t="s">
        <v>1043</v>
      </c>
      <c r="N24" s="66" t="s">
        <v>1367</v>
      </c>
      <c r="O24" s="66" t="s">
        <v>1372</v>
      </c>
      <c r="P24" s="66" t="s">
        <v>1448</v>
      </c>
      <c r="Q24" s="66"/>
      <c r="R24" s="117" t="s">
        <v>1449</v>
      </c>
      <c r="S24" s="109"/>
      <c r="T24" s="66"/>
      <c r="U24" s="66"/>
      <c r="V24" s="66"/>
      <c r="W24" s="66"/>
      <c r="X24" s="66"/>
      <c r="Y24" s="66"/>
      <c r="Z24" s="66"/>
      <c r="AA24" s="66"/>
    </row>
    <row r="25" spans="1:27" ht="15.75" customHeight="1">
      <c r="A25" s="65" t="s">
        <v>1450</v>
      </c>
      <c r="B25" s="67">
        <v>0.1</v>
      </c>
      <c r="C25" s="67">
        <v>0.15</v>
      </c>
      <c r="D25" s="67">
        <v>0.25</v>
      </c>
      <c r="E25" s="68" t="s">
        <v>674</v>
      </c>
      <c r="F25" s="68" t="s">
        <v>693</v>
      </c>
      <c r="G25" s="69" t="s">
        <v>705</v>
      </c>
      <c r="H25" s="68" t="s">
        <v>603</v>
      </c>
      <c r="I25" s="68" t="s">
        <v>627</v>
      </c>
      <c r="J25" s="68" t="s">
        <v>651</v>
      </c>
      <c r="K25" s="70">
        <v>4</v>
      </c>
      <c r="N25" s="66" t="s">
        <v>1367</v>
      </c>
      <c r="O25" s="66" t="s">
        <v>1375</v>
      </c>
      <c r="P25" s="66"/>
      <c r="Q25" s="66"/>
      <c r="R25" s="66"/>
      <c r="S25" s="66"/>
      <c r="T25" s="66"/>
      <c r="U25" s="66"/>
      <c r="V25" s="66"/>
      <c r="W25" s="66"/>
      <c r="X25" s="66"/>
      <c r="Y25" s="66"/>
      <c r="Z25" s="66"/>
      <c r="AA25" s="66"/>
    </row>
    <row r="26" spans="1:27" ht="15.75" customHeight="1">
      <c r="A26" s="65" t="s">
        <v>1451</v>
      </c>
      <c r="B26" s="67">
        <v>0.1</v>
      </c>
      <c r="C26" s="67">
        <v>0.15</v>
      </c>
      <c r="D26" s="67">
        <v>0.25</v>
      </c>
      <c r="E26" s="68" t="s">
        <v>676</v>
      </c>
      <c r="F26" s="68" t="s">
        <v>694</v>
      </c>
      <c r="G26" s="69" t="s">
        <v>706</v>
      </c>
      <c r="H26" s="68" t="s">
        <v>605</v>
      </c>
      <c r="I26" s="68" t="s">
        <v>629</v>
      </c>
      <c r="J26" s="68" t="s">
        <v>653</v>
      </c>
      <c r="K26" s="65">
        <v>4</v>
      </c>
      <c r="N26" s="66" t="s">
        <v>1367</v>
      </c>
      <c r="O26" s="66" t="s">
        <v>1376</v>
      </c>
      <c r="P26" s="66"/>
      <c r="Q26" s="66"/>
      <c r="R26" s="66"/>
      <c r="S26" s="66"/>
      <c r="T26" s="66"/>
      <c r="U26" s="66"/>
      <c r="V26" s="66"/>
      <c r="W26" s="66"/>
      <c r="X26" s="66"/>
      <c r="Y26" s="66"/>
      <c r="Z26" s="66"/>
      <c r="AA26" s="66"/>
    </row>
    <row r="27" spans="1:27" ht="15.75" customHeight="1">
      <c r="A27" s="65" t="s">
        <v>1452</v>
      </c>
      <c r="B27" s="67">
        <v>0.1</v>
      </c>
      <c r="C27" s="67">
        <v>0.15</v>
      </c>
      <c r="D27" s="67">
        <v>0.25</v>
      </c>
      <c r="E27" s="68" t="s">
        <v>678</v>
      </c>
      <c r="F27" s="65" t="s">
        <v>695</v>
      </c>
      <c r="G27" s="68" t="s">
        <v>707</v>
      </c>
      <c r="H27" s="68" t="s">
        <v>607</v>
      </c>
      <c r="I27" s="68" t="s">
        <v>631</v>
      </c>
      <c r="J27" s="68" t="s">
        <v>655</v>
      </c>
      <c r="K27" s="65">
        <v>3</v>
      </c>
      <c r="N27" s="66" t="s">
        <v>1367</v>
      </c>
      <c r="O27" s="66" t="s">
        <v>1379</v>
      </c>
      <c r="P27" s="66" t="s">
        <v>1453</v>
      </c>
      <c r="Q27" s="66"/>
      <c r="R27" s="66"/>
      <c r="S27" s="66"/>
      <c r="T27" s="66"/>
      <c r="U27" s="66"/>
      <c r="V27" s="66"/>
      <c r="W27" s="66"/>
      <c r="X27" s="66"/>
      <c r="Y27" s="66"/>
      <c r="Z27" s="66"/>
      <c r="AA27" s="66"/>
    </row>
    <row r="28" spans="1:27" ht="15.75" customHeight="1">
      <c r="A28" s="65" t="s">
        <v>1454</v>
      </c>
      <c r="B28" s="67">
        <v>0.6</v>
      </c>
      <c r="C28" s="67">
        <v>0.7</v>
      </c>
      <c r="D28" s="67">
        <v>0.8</v>
      </c>
      <c r="E28" s="69" t="s">
        <v>680</v>
      </c>
      <c r="F28" s="68" t="s">
        <v>696</v>
      </c>
      <c r="G28" s="69" t="s">
        <v>708</v>
      </c>
      <c r="H28" s="68" t="s">
        <v>609</v>
      </c>
      <c r="I28" s="68" t="s">
        <v>633</v>
      </c>
      <c r="J28" s="68" t="s">
        <v>657</v>
      </c>
      <c r="K28" s="65">
        <v>2</v>
      </c>
      <c r="N28" s="66" t="s">
        <v>1367</v>
      </c>
      <c r="O28" s="66" t="s">
        <v>1384</v>
      </c>
      <c r="P28" s="66"/>
      <c r="Q28" s="66"/>
      <c r="R28" s="66"/>
      <c r="S28" s="66"/>
      <c r="T28" s="66"/>
      <c r="U28" s="66"/>
      <c r="V28" s="66"/>
      <c r="W28" s="66"/>
      <c r="X28" s="66"/>
      <c r="Y28" s="66"/>
      <c r="Z28" s="66"/>
      <c r="AA28" s="66"/>
    </row>
    <row r="29" spans="1:27" ht="15.75" customHeight="1">
      <c r="A29" s="75" t="s">
        <v>1455</v>
      </c>
      <c r="B29" s="67">
        <v>0.1</v>
      </c>
      <c r="C29" s="67">
        <v>0.15</v>
      </c>
      <c r="D29" s="67">
        <v>0.25</v>
      </c>
      <c r="E29" s="69" t="s">
        <v>681</v>
      </c>
      <c r="F29" s="68" t="s">
        <v>697</v>
      </c>
      <c r="G29" s="69" t="s">
        <v>709</v>
      </c>
      <c r="H29" s="68" t="s">
        <v>611</v>
      </c>
      <c r="I29" s="68" t="s">
        <v>635</v>
      </c>
      <c r="J29" s="68" t="s">
        <v>1383</v>
      </c>
      <c r="K29" s="65">
        <v>3</v>
      </c>
      <c r="N29" s="66" t="s">
        <v>1367</v>
      </c>
      <c r="O29" s="66" t="s">
        <v>1389</v>
      </c>
      <c r="P29" s="66"/>
      <c r="Q29" s="66"/>
      <c r="R29" s="66"/>
      <c r="S29" s="66"/>
      <c r="T29" s="66"/>
      <c r="U29" s="66"/>
      <c r="V29" s="66"/>
      <c r="W29" s="66"/>
      <c r="X29" s="66"/>
      <c r="Y29" s="66"/>
      <c r="Z29" s="66"/>
      <c r="AA29" s="66"/>
    </row>
    <row r="30" spans="1:27" ht="15.75" customHeight="1">
      <c r="A30" s="65" t="s">
        <v>1456</v>
      </c>
      <c r="B30" s="67">
        <v>0.1</v>
      </c>
      <c r="C30" s="67">
        <v>0.15</v>
      </c>
      <c r="D30" s="67">
        <v>0.25</v>
      </c>
      <c r="E30" s="69" t="s">
        <v>683</v>
      </c>
      <c r="F30" s="68" t="s">
        <v>698</v>
      </c>
      <c r="G30" s="69" t="s">
        <v>710</v>
      </c>
      <c r="H30" s="68" t="s">
        <v>1388</v>
      </c>
      <c r="I30" s="68" t="s">
        <v>637</v>
      </c>
      <c r="J30" s="68" t="s">
        <v>661</v>
      </c>
      <c r="K30" s="65">
        <v>3</v>
      </c>
      <c r="N30" s="66" t="s">
        <v>1367</v>
      </c>
      <c r="O30" s="66" t="s">
        <v>1392</v>
      </c>
      <c r="P30" s="66"/>
      <c r="Q30" s="66"/>
      <c r="R30" s="66"/>
      <c r="S30" s="66"/>
      <c r="T30" s="66"/>
      <c r="U30" s="66"/>
      <c r="V30" s="66"/>
      <c r="W30" s="66"/>
      <c r="X30" s="66"/>
      <c r="Y30" s="66"/>
      <c r="Z30" s="66"/>
      <c r="AA30" s="66"/>
    </row>
    <row r="31" spans="1:27" ht="15.75" customHeight="1">
      <c r="A31" s="65" t="s">
        <v>1457</v>
      </c>
      <c r="B31" s="67">
        <v>0.1</v>
      </c>
      <c r="C31" s="67">
        <v>0.15</v>
      </c>
      <c r="D31" s="67">
        <v>0.25</v>
      </c>
      <c r="E31" s="69" t="s">
        <v>685</v>
      </c>
      <c r="F31" s="68" t="s">
        <v>699</v>
      </c>
      <c r="G31" s="69" t="s">
        <v>711</v>
      </c>
      <c r="H31" s="68" t="s">
        <v>1390</v>
      </c>
      <c r="I31" s="68" t="s">
        <v>639</v>
      </c>
      <c r="J31" s="68" t="s">
        <v>1391</v>
      </c>
      <c r="K31" s="65">
        <v>3</v>
      </c>
      <c r="N31" s="66" t="s">
        <v>1367</v>
      </c>
      <c r="O31" s="66" t="s">
        <v>1393</v>
      </c>
      <c r="P31" s="66"/>
      <c r="Q31" s="66"/>
      <c r="R31" s="66"/>
      <c r="S31" s="66"/>
      <c r="T31" s="66"/>
      <c r="U31" s="66"/>
      <c r="V31" s="66"/>
      <c r="W31" s="66"/>
      <c r="X31" s="66"/>
      <c r="Y31" s="66"/>
      <c r="Z31" s="66"/>
      <c r="AA31" s="66"/>
    </row>
    <row r="32" spans="1:27" ht="15.75" customHeight="1">
      <c r="A32" s="65" t="s">
        <v>1458</v>
      </c>
      <c r="B32" s="80">
        <v>5</v>
      </c>
      <c r="C32" s="80">
        <v>15</v>
      </c>
      <c r="D32" s="65">
        <v>25</v>
      </c>
      <c r="E32" s="68" t="s">
        <v>687</v>
      </c>
      <c r="F32" s="69" t="s">
        <v>700</v>
      </c>
      <c r="G32" s="69" t="s">
        <v>712</v>
      </c>
      <c r="H32" s="68" t="s">
        <v>617</v>
      </c>
      <c r="I32" s="68" t="s">
        <v>641</v>
      </c>
      <c r="J32" s="68" t="s">
        <v>665</v>
      </c>
      <c r="K32" s="65">
        <v>3</v>
      </c>
      <c r="N32" s="66" t="s">
        <v>1367</v>
      </c>
      <c r="O32" s="66" t="s">
        <v>1395</v>
      </c>
      <c r="P32" s="66"/>
      <c r="Q32" s="66"/>
      <c r="R32" s="66"/>
      <c r="S32" s="66"/>
      <c r="T32" s="66"/>
      <c r="U32" s="66"/>
      <c r="V32" s="66"/>
      <c r="W32" s="66"/>
      <c r="X32" s="66"/>
      <c r="Y32" s="66"/>
      <c r="Z32" s="66"/>
      <c r="AA32" s="66"/>
    </row>
    <row r="33" spans="1:27" ht="15.75" customHeight="1">
      <c r="A33" s="65" t="s">
        <v>1459</v>
      </c>
      <c r="B33" s="65">
        <v>2</v>
      </c>
      <c r="C33" s="65">
        <v>3</v>
      </c>
      <c r="D33" s="65">
        <v>5</v>
      </c>
      <c r="E33" s="69" t="s">
        <v>688</v>
      </c>
      <c r="F33" s="68" t="s">
        <v>701</v>
      </c>
      <c r="G33" s="69" t="s">
        <v>713</v>
      </c>
      <c r="H33" s="68" t="s">
        <v>619</v>
      </c>
      <c r="I33" s="68" t="s">
        <v>643</v>
      </c>
      <c r="J33" s="68" t="s">
        <v>667</v>
      </c>
      <c r="K33" s="65">
        <v>3</v>
      </c>
      <c r="N33" s="66" t="s">
        <v>1372</v>
      </c>
      <c r="O33" s="66" t="s">
        <v>1375</v>
      </c>
      <c r="P33" s="66"/>
      <c r="Q33" s="66"/>
      <c r="R33" s="66"/>
      <c r="S33" s="66"/>
      <c r="T33" s="66"/>
      <c r="U33" s="66"/>
      <c r="V33" s="66"/>
      <c r="W33" s="66"/>
      <c r="X33" s="66"/>
      <c r="Y33" s="66"/>
      <c r="Z33" s="66"/>
      <c r="AA33" s="66"/>
    </row>
    <row r="34" spans="1:27" ht="15.75" customHeight="1">
      <c r="A34" s="81" t="s">
        <v>1460</v>
      </c>
      <c r="B34" s="82">
        <v>0.55000000000000004</v>
      </c>
      <c r="C34" s="82">
        <v>0.6</v>
      </c>
      <c r="D34" s="67">
        <v>0.7</v>
      </c>
      <c r="E34" s="69" t="s">
        <v>690</v>
      </c>
      <c r="F34" s="68" t="s">
        <v>702</v>
      </c>
      <c r="G34" s="69" t="s">
        <v>714</v>
      </c>
      <c r="H34" s="68" t="s">
        <v>621</v>
      </c>
      <c r="I34" s="68" t="s">
        <v>645</v>
      </c>
      <c r="J34" s="68" t="s">
        <v>669</v>
      </c>
      <c r="K34" s="65">
        <v>2</v>
      </c>
      <c r="N34" s="66" t="s">
        <v>1372</v>
      </c>
      <c r="O34" s="66" t="s">
        <v>1376</v>
      </c>
      <c r="P34" s="66"/>
      <c r="Q34" s="66"/>
      <c r="R34" s="66"/>
      <c r="S34" s="66"/>
      <c r="T34" s="66"/>
      <c r="U34" s="66"/>
      <c r="V34" s="66"/>
      <c r="W34" s="66"/>
      <c r="X34" s="66"/>
      <c r="Y34" s="66"/>
      <c r="Z34" s="66"/>
      <c r="AA34" s="66"/>
    </row>
    <row r="35" spans="1:27" ht="15.75" customHeight="1">
      <c r="A35" s="75" t="s">
        <v>1461</v>
      </c>
      <c r="B35" s="65" t="s">
        <v>1462</v>
      </c>
      <c r="C35" s="65"/>
      <c r="F35" s="30"/>
      <c r="N35" s="66" t="s">
        <v>1372</v>
      </c>
      <c r="O35" s="66" t="s">
        <v>1379</v>
      </c>
      <c r="P35" s="66" t="s">
        <v>1463</v>
      </c>
      <c r="Q35" s="66"/>
      <c r="R35" s="66"/>
      <c r="S35" s="66"/>
      <c r="T35" s="66"/>
      <c r="U35" s="66"/>
      <c r="V35" s="66"/>
      <c r="W35" s="66"/>
      <c r="X35" s="66"/>
      <c r="Y35" s="66"/>
      <c r="Z35" s="66"/>
      <c r="AA35" s="66"/>
    </row>
    <row r="36" spans="1:27" ht="15.75" customHeight="1">
      <c r="A36" s="75" t="s">
        <v>1464</v>
      </c>
      <c r="B36" s="65" t="s">
        <v>1343</v>
      </c>
      <c r="C36" s="65" t="s">
        <v>1402</v>
      </c>
      <c r="D36" s="65" t="s">
        <v>1403</v>
      </c>
      <c r="E36" s="65" t="s">
        <v>1404</v>
      </c>
      <c r="F36" s="65" t="s">
        <v>1405</v>
      </c>
      <c r="G36" s="65" t="s">
        <v>1406</v>
      </c>
      <c r="H36" s="65" t="s">
        <v>1407</v>
      </c>
      <c r="I36" s="65" t="s">
        <v>1408</v>
      </c>
      <c r="J36" s="65" t="s">
        <v>1409</v>
      </c>
      <c r="K36" s="65" t="s">
        <v>1410</v>
      </c>
      <c r="L36" s="65" t="s">
        <v>1411</v>
      </c>
      <c r="N36" s="66" t="s">
        <v>1372</v>
      </c>
      <c r="O36" s="66" t="s">
        <v>1384</v>
      </c>
      <c r="P36" s="66" t="s">
        <v>1465</v>
      </c>
      <c r="Q36" s="66"/>
      <c r="R36" s="66"/>
      <c r="S36" s="66"/>
      <c r="T36" s="66"/>
      <c r="U36" s="66"/>
      <c r="V36" s="66"/>
      <c r="W36" s="66"/>
      <c r="X36" s="66"/>
      <c r="Y36" s="66"/>
      <c r="Z36" s="66"/>
      <c r="AA36" s="66"/>
    </row>
    <row r="37" spans="1:27" ht="15.75" customHeight="1">
      <c r="A37" s="65" t="s">
        <v>1466</v>
      </c>
      <c r="B37" s="75" t="s">
        <v>1414</v>
      </c>
      <c r="C37" s="77" t="s">
        <v>1415</v>
      </c>
      <c r="D37" s="69" t="s">
        <v>715</v>
      </c>
      <c r="E37" s="77" t="s">
        <v>1415</v>
      </c>
      <c r="F37" s="69" t="s">
        <v>724</v>
      </c>
      <c r="G37" s="77" t="s">
        <v>1416</v>
      </c>
      <c r="H37" s="69" t="s">
        <v>732</v>
      </c>
      <c r="I37" s="77" t="s">
        <v>1416</v>
      </c>
      <c r="J37" s="69" t="s">
        <v>740</v>
      </c>
      <c r="K37" s="77" t="s">
        <v>1417</v>
      </c>
      <c r="L37" s="69" t="s">
        <v>748</v>
      </c>
      <c r="N37" s="66" t="s">
        <v>1372</v>
      </c>
      <c r="O37" s="66" t="s">
        <v>1389</v>
      </c>
      <c r="P37" s="66"/>
      <c r="Q37" s="66"/>
      <c r="R37" s="66"/>
      <c r="S37" s="66"/>
      <c r="T37" s="66"/>
      <c r="U37" s="66"/>
      <c r="V37" s="66"/>
      <c r="W37" s="66"/>
      <c r="X37" s="66"/>
      <c r="Y37" s="66"/>
      <c r="Z37" s="66"/>
      <c r="AA37" s="66"/>
    </row>
    <row r="38" spans="1:27" ht="15.75" customHeight="1">
      <c r="A38" s="75" t="s">
        <v>1467</v>
      </c>
      <c r="B38" s="75" t="s">
        <v>1422</v>
      </c>
      <c r="C38" s="78">
        <v>0.1</v>
      </c>
      <c r="D38" s="69" t="s">
        <v>718</v>
      </c>
      <c r="E38" s="78">
        <v>0.12</v>
      </c>
      <c r="F38" s="69" t="s">
        <v>726</v>
      </c>
      <c r="G38" s="78">
        <v>0.15</v>
      </c>
      <c r="H38" s="79" t="s">
        <v>734</v>
      </c>
      <c r="I38" s="67">
        <v>0.2</v>
      </c>
      <c r="J38" s="69" t="s">
        <v>742</v>
      </c>
      <c r="K38" s="67">
        <v>0.3</v>
      </c>
      <c r="L38" s="69" t="s">
        <v>750</v>
      </c>
      <c r="N38" s="66" t="s">
        <v>1372</v>
      </c>
      <c r="O38" s="66" t="s">
        <v>1392</v>
      </c>
      <c r="P38" s="66"/>
      <c r="Q38" s="66"/>
      <c r="R38" s="66"/>
      <c r="S38" s="66"/>
      <c r="T38" s="66"/>
      <c r="U38" s="66"/>
      <c r="V38" s="66"/>
      <c r="W38" s="66"/>
      <c r="X38" s="66"/>
      <c r="Y38" s="66"/>
      <c r="Z38" s="66"/>
      <c r="AA38" s="66"/>
    </row>
    <row r="39" spans="1:27" ht="15.75" customHeight="1">
      <c r="A39" s="31" t="s">
        <v>1425</v>
      </c>
      <c r="B39" s="75" t="s">
        <v>1468</v>
      </c>
      <c r="C39" s="77" t="s">
        <v>1436</v>
      </c>
      <c r="D39" s="69" t="s">
        <v>720</v>
      </c>
      <c r="E39" s="77" t="s">
        <v>1437</v>
      </c>
      <c r="F39" s="69" t="s">
        <v>728</v>
      </c>
      <c r="G39" s="77" t="s">
        <v>1437</v>
      </c>
      <c r="H39" s="69" t="s">
        <v>736</v>
      </c>
      <c r="I39" s="77" t="s">
        <v>1438</v>
      </c>
      <c r="J39" s="69" t="s">
        <v>744</v>
      </c>
      <c r="K39" s="77" t="s">
        <v>1438</v>
      </c>
      <c r="L39" s="69" t="s">
        <v>752</v>
      </c>
      <c r="N39" s="66" t="s">
        <v>1372</v>
      </c>
      <c r="O39" s="66" t="s">
        <v>1393</v>
      </c>
      <c r="P39" s="66" t="s">
        <v>1469</v>
      </c>
      <c r="Q39" s="66"/>
      <c r="R39" s="66"/>
      <c r="S39" s="66"/>
      <c r="T39" s="66"/>
      <c r="U39" s="66"/>
      <c r="V39" s="66"/>
      <c r="W39" s="66"/>
      <c r="X39" s="66"/>
      <c r="Y39" s="66"/>
      <c r="Z39" s="66"/>
      <c r="AA39" s="66"/>
    </row>
    <row r="40" spans="1:27" ht="15.75" customHeight="1">
      <c r="A40" s="36" t="s">
        <v>1470</v>
      </c>
      <c r="B40" s="75" t="s">
        <v>1435</v>
      </c>
      <c r="C40" s="77" t="s">
        <v>1436</v>
      </c>
      <c r="D40" s="69" t="s">
        <v>722</v>
      </c>
      <c r="E40" s="77" t="s">
        <v>1437</v>
      </c>
      <c r="F40" s="69" t="s">
        <v>730</v>
      </c>
      <c r="G40" s="77" t="s">
        <v>1438</v>
      </c>
      <c r="H40" s="69" t="s">
        <v>738</v>
      </c>
      <c r="I40" s="77" t="s">
        <v>1439</v>
      </c>
      <c r="J40" s="69" t="s">
        <v>746</v>
      </c>
      <c r="K40" s="77" t="s">
        <v>1440</v>
      </c>
      <c r="L40" s="69" t="s">
        <v>754</v>
      </c>
      <c r="N40" s="66" t="s">
        <v>1372</v>
      </c>
      <c r="O40" s="66" t="s">
        <v>1395</v>
      </c>
      <c r="P40" s="66" t="s">
        <v>1471</v>
      </c>
      <c r="Q40" s="66"/>
      <c r="R40" s="66"/>
      <c r="S40" s="66"/>
      <c r="T40" s="66"/>
      <c r="U40" s="66"/>
      <c r="V40" s="66"/>
      <c r="W40" s="66"/>
      <c r="X40" s="66"/>
      <c r="Y40" s="66"/>
      <c r="Z40" s="66"/>
      <c r="AA40" s="66"/>
    </row>
    <row r="41" spans="1:27" ht="15.75" customHeight="1">
      <c r="N41" s="66" t="s">
        <v>1375</v>
      </c>
      <c r="O41" s="66" t="s">
        <v>1376</v>
      </c>
      <c r="P41" s="66" t="s">
        <v>1472</v>
      </c>
      <c r="Q41" s="66"/>
      <c r="R41" s="66"/>
      <c r="S41" s="66"/>
      <c r="T41" s="66"/>
      <c r="U41" s="66"/>
      <c r="V41" s="66"/>
      <c r="W41" s="66"/>
      <c r="X41" s="66"/>
      <c r="Y41" s="66"/>
      <c r="Z41" s="66"/>
      <c r="AA41" s="66"/>
    </row>
    <row r="42" spans="1:27" ht="15.75" customHeight="1">
      <c r="N42" s="66" t="s">
        <v>1375</v>
      </c>
      <c r="O42" s="66" t="s">
        <v>1379</v>
      </c>
      <c r="P42" s="66" t="s">
        <v>1473</v>
      </c>
      <c r="Q42" s="66"/>
      <c r="R42" s="66"/>
      <c r="S42" s="66"/>
      <c r="T42" s="66"/>
      <c r="U42" s="66"/>
      <c r="V42" s="66"/>
      <c r="W42" s="66"/>
      <c r="X42" s="66"/>
      <c r="Y42" s="66"/>
      <c r="Z42" s="66"/>
      <c r="AA42" s="66"/>
    </row>
    <row r="43" spans="1:27" ht="15.75" customHeight="1">
      <c r="N43" s="66" t="s">
        <v>1375</v>
      </c>
      <c r="O43" s="66" t="s">
        <v>1384</v>
      </c>
      <c r="P43" s="66"/>
      <c r="Q43" s="66"/>
      <c r="R43" s="66"/>
      <c r="S43" s="66"/>
      <c r="T43" s="66"/>
      <c r="U43" s="66"/>
      <c r="V43" s="66"/>
      <c r="W43" s="66"/>
      <c r="X43" s="66"/>
      <c r="Y43" s="66"/>
      <c r="Z43" s="66"/>
      <c r="AA43" s="66"/>
    </row>
    <row r="44" spans="1:27" ht="15.75" customHeight="1">
      <c r="N44" s="66" t="s">
        <v>1375</v>
      </c>
      <c r="O44" s="66" t="s">
        <v>1389</v>
      </c>
      <c r="P44" s="66" t="s">
        <v>1474</v>
      </c>
      <c r="Q44" s="66"/>
      <c r="R44" s="66"/>
      <c r="S44" s="66"/>
      <c r="T44" s="66"/>
      <c r="U44" s="66"/>
      <c r="V44" s="66"/>
      <c r="W44" s="66"/>
      <c r="X44" s="66"/>
      <c r="Y44" s="66"/>
      <c r="Z44" s="66"/>
      <c r="AA44" s="66"/>
    </row>
    <row r="45" spans="1:27" ht="15.75" customHeight="1">
      <c r="N45" s="66" t="s">
        <v>1375</v>
      </c>
      <c r="O45" s="66" t="s">
        <v>1392</v>
      </c>
      <c r="P45" s="66"/>
      <c r="Q45" s="66"/>
      <c r="R45" s="66"/>
      <c r="S45" s="66"/>
      <c r="T45" s="66"/>
      <c r="U45" s="66"/>
      <c r="V45" s="66"/>
      <c r="W45" s="66"/>
      <c r="X45" s="66"/>
      <c r="Y45" s="66"/>
      <c r="Z45" s="66"/>
      <c r="AA45" s="66"/>
    </row>
    <row r="46" spans="1:27" ht="15.75" customHeight="1">
      <c r="N46" s="66" t="s">
        <v>1375</v>
      </c>
      <c r="O46" s="66" t="s">
        <v>1393</v>
      </c>
      <c r="P46" s="66"/>
      <c r="Q46" s="66"/>
      <c r="R46" s="66"/>
      <c r="S46" s="66"/>
      <c r="T46" s="66"/>
      <c r="U46" s="66"/>
      <c r="V46" s="66"/>
      <c r="W46" s="66"/>
      <c r="X46" s="66"/>
      <c r="Y46" s="66"/>
      <c r="Z46" s="66"/>
      <c r="AA46" s="66"/>
    </row>
    <row r="47" spans="1:27" ht="15.75" customHeight="1">
      <c r="N47" s="66" t="s">
        <v>1375</v>
      </c>
      <c r="O47" s="66" t="s">
        <v>1395</v>
      </c>
      <c r="P47" s="66" t="s">
        <v>1475</v>
      </c>
      <c r="Q47" s="66"/>
      <c r="R47" s="66"/>
      <c r="S47" s="66"/>
      <c r="T47" s="66"/>
      <c r="U47" s="66"/>
      <c r="V47" s="66"/>
      <c r="W47" s="66"/>
      <c r="X47" s="66"/>
      <c r="Y47" s="66"/>
      <c r="Z47" s="66"/>
      <c r="AA47" s="66"/>
    </row>
    <row r="48" spans="1:27" ht="15.75" customHeight="1">
      <c r="N48" s="66" t="s">
        <v>1376</v>
      </c>
      <c r="O48" s="66" t="s">
        <v>1379</v>
      </c>
      <c r="P48" s="66" t="s">
        <v>1476</v>
      </c>
      <c r="Q48" s="66"/>
      <c r="R48" s="66"/>
      <c r="S48" s="66"/>
      <c r="T48" s="66"/>
      <c r="U48" s="66"/>
      <c r="V48" s="66"/>
      <c r="W48" s="66"/>
      <c r="X48" s="66"/>
      <c r="Y48" s="66"/>
      <c r="Z48" s="66"/>
      <c r="AA48" s="66"/>
    </row>
    <row r="49" spans="7:27" ht="15.75" customHeight="1">
      <c r="N49" s="66" t="s">
        <v>1376</v>
      </c>
      <c r="O49" s="66" t="s">
        <v>1384</v>
      </c>
      <c r="P49" s="66"/>
      <c r="Q49" s="66"/>
      <c r="R49" s="66"/>
      <c r="S49" s="66"/>
      <c r="T49" s="66"/>
      <c r="U49" s="66"/>
      <c r="V49" s="66"/>
      <c r="W49" s="66"/>
      <c r="X49" s="66"/>
      <c r="Y49" s="66"/>
      <c r="Z49" s="66"/>
      <c r="AA49" s="66"/>
    </row>
    <row r="50" spans="7:27" ht="15.75" customHeight="1">
      <c r="N50" s="66" t="s">
        <v>1376</v>
      </c>
      <c r="O50" s="66" t="s">
        <v>1389</v>
      </c>
      <c r="P50" s="66" t="s">
        <v>1477</v>
      </c>
      <c r="Q50" s="66"/>
      <c r="R50" s="66"/>
      <c r="S50" s="66"/>
      <c r="T50" s="66"/>
      <c r="U50" s="66"/>
      <c r="V50" s="66"/>
      <c r="W50" s="66"/>
      <c r="X50" s="66"/>
      <c r="Y50" s="66"/>
      <c r="Z50" s="66"/>
      <c r="AA50" s="66"/>
    </row>
    <row r="51" spans="7:27" ht="15.75" customHeight="1">
      <c r="G51" s="30"/>
      <c r="N51" s="66" t="s">
        <v>1376</v>
      </c>
      <c r="O51" s="66" t="s">
        <v>1392</v>
      </c>
      <c r="P51" s="66" t="s">
        <v>1478</v>
      </c>
      <c r="Q51" s="66"/>
      <c r="R51" s="66"/>
      <c r="S51" s="66"/>
      <c r="T51" s="66"/>
      <c r="U51" s="66"/>
      <c r="V51" s="66"/>
      <c r="W51" s="66"/>
      <c r="X51" s="66"/>
      <c r="Y51" s="66"/>
      <c r="Z51" s="66"/>
      <c r="AA51" s="66"/>
    </row>
    <row r="52" spans="7:27" ht="15.75" customHeight="1">
      <c r="G52" s="30"/>
      <c r="N52" s="66" t="s">
        <v>1376</v>
      </c>
      <c r="O52" s="66" t="s">
        <v>1393</v>
      </c>
      <c r="P52" s="66" t="s">
        <v>1479</v>
      </c>
      <c r="Q52" s="66"/>
      <c r="R52" s="66"/>
      <c r="S52" s="66"/>
      <c r="T52" s="66"/>
      <c r="U52" s="66"/>
      <c r="V52" s="66"/>
      <c r="W52" s="66"/>
      <c r="X52" s="66"/>
      <c r="Y52" s="66"/>
      <c r="Z52" s="66"/>
      <c r="AA52" s="66"/>
    </row>
    <row r="53" spans="7:27" ht="15.75" customHeight="1">
      <c r="G53" s="30"/>
      <c r="N53" s="66" t="s">
        <v>1376</v>
      </c>
      <c r="O53" s="66" t="s">
        <v>1395</v>
      </c>
      <c r="P53" s="66"/>
      <c r="Q53" s="66"/>
      <c r="R53" s="66"/>
      <c r="S53" s="66"/>
      <c r="T53" s="66"/>
      <c r="U53" s="66"/>
      <c r="V53" s="66"/>
      <c r="W53" s="66"/>
      <c r="X53" s="66"/>
      <c r="Y53" s="66"/>
      <c r="Z53" s="66"/>
      <c r="AA53" s="66"/>
    </row>
    <row r="54" spans="7:27" ht="15.75" customHeight="1">
      <c r="G54" s="30"/>
      <c r="N54" s="66" t="s">
        <v>1379</v>
      </c>
      <c r="O54" s="66" t="s">
        <v>1384</v>
      </c>
      <c r="P54" s="66" t="s">
        <v>1480</v>
      </c>
      <c r="Q54" s="66"/>
      <c r="R54" s="66"/>
      <c r="S54" s="66"/>
      <c r="T54" s="66"/>
      <c r="U54" s="66"/>
      <c r="V54" s="66"/>
      <c r="W54" s="66"/>
      <c r="X54" s="66"/>
      <c r="Y54" s="66"/>
      <c r="Z54" s="66"/>
      <c r="AA54" s="66"/>
    </row>
    <row r="55" spans="7:27" ht="15.75" customHeight="1">
      <c r="G55" s="30"/>
      <c r="N55" s="66" t="s">
        <v>1379</v>
      </c>
      <c r="O55" s="66" t="s">
        <v>1389</v>
      </c>
      <c r="P55" s="66" t="s">
        <v>1481</v>
      </c>
      <c r="Q55" s="66"/>
      <c r="R55" s="66"/>
      <c r="S55" s="66"/>
      <c r="T55" s="66"/>
      <c r="U55" s="66"/>
      <c r="V55" s="66"/>
      <c r="W55" s="66"/>
      <c r="X55" s="66"/>
      <c r="Y55" s="66"/>
      <c r="Z55" s="66"/>
      <c r="AA55" s="66"/>
    </row>
    <row r="56" spans="7:27" ht="14.25">
      <c r="G56" s="30"/>
      <c r="N56" s="66" t="s">
        <v>1379</v>
      </c>
      <c r="O56" s="66" t="s">
        <v>1392</v>
      </c>
      <c r="P56" s="66" t="s">
        <v>1482</v>
      </c>
      <c r="Q56" s="66"/>
      <c r="R56" s="66"/>
      <c r="S56" s="66"/>
      <c r="T56" s="66"/>
      <c r="U56" s="66"/>
      <c r="V56" s="66"/>
      <c r="W56" s="66"/>
      <c r="X56" s="66"/>
      <c r="Y56" s="66"/>
      <c r="Z56" s="66"/>
      <c r="AA56" s="66"/>
    </row>
    <row r="57" spans="7:27" ht="14.25">
      <c r="G57" s="30"/>
      <c r="N57" s="66" t="s">
        <v>1379</v>
      </c>
      <c r="O57" s="66" t="s">
        <v>1393</v>
      </c>
      <c r="P57" s="66" t="s">
        <v>1483</v>
      </c>
      <c r="Q57" s="66"/>
      <c r="R57" s="66"/>
      <c r="S57" s="66"/>
      <c r="T57" s="66"/>
      <c r="U57" s="66"/>
      <c r="V57" s="66"/>
      <c r="W57" s="66"/>
      <c r="X57" s="66"/>
      <c r="Y57" s="66"/>
      <c r="Z57" s="66"/>
      <c r="AA57" s="66"/>
    </row>
    <row r="58" spans="7:27" ht="14.25">
      <c r="G58" s="30"/>
      <c r="N58" s="66" t="s">
        <v>1379</v>
      </c>
      <c r="O58" s="66" t="s">
        <v>1395</v>
      </c>
      <c r="P58" s="66"/>
      <c r="Q58" s="66"/>
      <c r="R58" s="66"/>
      <c r="S58" s="66"/>
      <c r="T58" s="66"/>
      <c r="U58" s="66"/>
      <c r="V58" s="66"/>
      <c r="W58" s="66"/>
      <c r="X58" s="66"/>
      <c r="Y58" s="66"/>
      <c r="Z58" s="66"/>
      <c r="AA58" s="66"/>
    </row>
    <row r="59" spans="7:27" ht="14.25">
      <c r="G59" s="30"/>
      <c r="N59" s="66" t="s">
        <v>1384</v>
      </c>
      <c r="O59" s="66" t="s">
        <v>1389</v>
      </c>
      <c r="P59" s="66"/>
      <c r="Q59" s="66"/>
      <c r="R59" s="66"/>
      <c r="S59" s="66"/>
      <c r="T59" s="66"/>
      <c r="U59" s="66"/>
      <c r="V59" s="66"/>
      <c r="W59" s="66"/>
      <c r="X59" s="66"/>
      <c r="Y59" s="66"/>
      <c r="Z59" s="66"/>
      <c r="AA59" s="66"/>
    </row>
    <row r="60" spans="7:27" ht="14.25">
      <c r="G60" s="30"/>
      <c r="N60" s="66" t="s">
        <v>1384</v>
      </c>
      <c r="O60" s="66" t="s">
        <v>1392</v>
      </c>
      <c r="P60" s="66"/>
      <c r="Q60" s="66"/>
      <c r="R60" s="66"/>
      <c r="S60" s="66"/>
      <c r="T60" s="66"/>
      <c r="U60" s="66"/>
      <c r="V60" s="66"/>
      <c r="W60" s="66"/>
      <c r="X60" s="66"/>
      <c r="Y60" s="66"/>
      <c r="Z60" s="66"/>
      <c r="AA60" s="66"/>
    </row>
    <row r="61" spans="7:27" ht="14.25">
      <c r="G61" s="30"/>
      <c r="N61" s="66" t="s">
        <v>1384</v>
      </c>
      <c r="O61" s="66" t="s">
        <v>1393</v>
      </c>
      <c r="P61" s="66"/>
      <c r="Q61" s="66"/>
      <c r="R61" s="66"/>
      <c r="S61" s="66"/>
      <c r="T61" s="66"/>
      <c r="U61" s="66"/>
      <c r="V61" s="66"/>
      <c r="W61" s="66"/>
      <c r="X61" s="66"/>
      <c r="Y61" s="66"/>
      <c r="Z61" s="66"/>
      <c r="AA61" s="66"/>
    </row>
    <row r="62" spans="7:27" ht="14.25">
      <c r="G62" s="30"/>
      <c r="N62" s="66" t="s">
        <v>1384</v>
      </c>
      <c r="O62" s="66" t="s">
        <v>1395</v>
      </c>
      <c r="P62" s="66"/>
      <c r="Q62" s="66"/>
      <c r="R62" s="66"/>
      <c r="S62" s="66"/>
      <c r="T62" s="66"/>
      <c r="U62" s="66"/>
      <c r="V62" s="66"/>
      <c r="W62" s="66"/>
      <c r="X62" s="66"/>
      <c r="Y62" s="66"/>
      <c r="Z62" s="66"/>
      <c r="AA62" s="66"/>
    </row>
    <row r="63" spans="7:27" ht="14.25">
      <c r="G63" s="30"/>
      <c r="N63" s="66" t="s">
        <v>1389</v>
      </c>
      <c r="O63" s="66" t="s">
        <v>1392</v>
      </c>
      <c r="P63" s="66"/>
      <c r="Q63" s="66"/>
      <c r="R63" s="66"/>
      <c r="S63" s="66"/>
      <c r="T63" s="66"/>
      <c r="U63" s="66"/>
      <c r="V63" s="66"/>
      <c r="W63" s="66"/>
      <c r="X63" s="66"/>
      <c r="Y63" s="66"/>
      <c r="Z63" s="66"/>
      <c r="AA63" s="66"/>
    </row>
    <row r="64" spans="7:27" ht="14.25">
      <c r="G64" s="30"/>
      <c r="N64" s="66" t="s">
        <v>1389</v>
      </c>
      <c r="O64" s="66" t="s">
        <v>1393</v>
      </c>
      <c r="P64" s="66" t="s">
        <v>1484</v>
      </c>
      <c r="Q64" s="66"/>
      <c r="R64" s="66"/>
      <c r="S64" s="66"/>
      <c r="T64" s="66"/>
      <c r="U64" s="66"/>
      <c r="V64" s="66"/>
      <c r="W64" s="66"/>
      <c r="X64" s="66"/>
      <c r="Y64" s="66"/>
      <c r="Z64" s="66"/>
      <c r="AA64" s="66"/>
    </row>
    <row r="65" spans="7:27" ht="14.25">
      <c r="G65" s="30"/>
      <c r="N65" s="66" t="s">
        <v>1389</v>
      </c>
      <c r="O65" s="66" t="s">
        <v>1395</v>
      </c>
      <c r="P65" s="66" t="s">
        <v>1485</v>
      </c>
      <c r="Q65" s="66"/>
      <c r="R65" s="66"/>
      <c r="S65" s="66"/>
      <c r="T65" s="66"/>
      <c r="U65" s="66"/>
      <c r="V65" s="66"/>
      <c r="W65" s="66"/>
      <c r="X65" s="66"/>
      <c r="Y65" s="66"/>
      <c r="Z65" s="66"/>
      <c r="AA65" s="66"/>
    </row>
    <row r="66" spans="7:27" ht="14.25">
      <c r="G66" s="30"/>
      <c r="N66" s="66" t="s">
        <v>1392</v>
      </c>
      <c r="O66" s="66" t="s">
        <v>1393</v>
      </c>
      <c r="P66" s="66" t="s">
        <v>1486</v>
      </c>
      <c r="Q66" s="66"/>
      <c r="R66" s="66"/>
      <c r="S66" s="66"/>
      <c r="T66" s="66"/>
      <c r="U66" s="66"/>
      <c r="V66" s="66"/>
      <c r="W66" s="66"/>
      <c r="X66" s="66"/>
      <c r="Y66" s="66"/>
      <c r="Z66" s="66"/>
      <c r="AA66" s="66"/>
    </row>
    <row r="67" spans="7:27" ht="14.25">
      <c r="G67" s="30"/>
      <c r="N67" s="66" t="s">
        <v>1392</v>
      </c>
      <c r="O67" s="66" t="s">
        <v>1395</v>
      </c>
      <c r="P67" s="66"/>
      <c r="Q67" s="66"/>
      <c r="R67" s="66"/>
      <c r="S67" s="66"/>
      <c r="T67" s="66"/>
      <c r="U67" s="66"/>
      <c r="V67" s="66"/>
      <c r="W67" s="66"/>
      <c r="X67" s="66"/>
      <c r="Y67" s="66"/>
      <c r="Z67" s="66"/>
      <c r="AA67" s="66"/>
    </row>
    <row r="68" spans="7:27" ht="14.25">
      <c r="G68" s="30"/>
      <c r="N68" s="66" t="s">
        <v>1393</v>
      </c>
      <c r="O68" s="66" t="s">
        <v>1395</v>
      </c>
      <c r="P68" s="66"/>
      <c r="Q68" s="66"/>
      <c r="R68" s="66"/>
      <c r="S68" s="66"/>
      <c r="T68" s="66"/>
      <c r="U68" s="66"/>
      <c r="V68" s="66"/>
      <c r="W68" s="66"/>
      <c r="X68" s="66"/>
      <c r="Y68" s="66"/>
      <c r="Z68" s="66"/>
      <c r="AA68" s="66"/>
    </row>
    <row r="69" spans="7:27" ht="14.25">
      <c r="G69" s="30"/>
      <c r="N69" s="66"/>
      <c r="O69" s="66"/>
      <c r="P69" s="66"/>
      <c r="Q69" s="66"/>
      <c r="R69" s="66"/>
      <c r="S69" s="66"/>
      <c r="T69" s="66"/>
      <c r="U69" s="66"/>
      <c r="V69" s="66"/>
      <c r="W69" s="66"/>
      <c r="X69" s="66"/>
      <c r="Y69" s="66"/>
      <c r="Z69" s="66"/>
      <c r="AA69" s="66"/>
    </row>
    <row r="70" spans="7:27" ht="14.25">
      <c r="G70" s="30"/>
      <c r="N70" s="66" t="s">
        <v>1343</v>
      </c>
      <c r="O70" s="66" t="s">
        <v>1487</v>
      </c>
      <c r="P70" s="66"/>
      <c r="Q70" s="66"/>
      <c r="R70" s="66"/>
      <c r="S70" s="66"/>
      <c r="T70" s="66"/>
      <c r="U70" s="66"/>
      <c r="V70" s="66"/>
      <c r="W70" s="66"/>
      <c r="X70" s="66"/>
      <c r="Y70" s="66"/>
      <c r="Z70" s="66"/>
      <c r="AA70" s="66"/>
    </row>
    <row r="71" spans="7:27" ht="14.25">
      <c r="G71" s="30"/>
      <c r="N71" s="66" t="s">
        <v>1361</v>
      </c>
      <c r="O71" s="66" t="s">
        <v>1488</v>
      </c>
      <c r="P71" s="66"/>
      <c r="Q71" s="66"/>
      <c r="R71" s="66"/>
      <c r="S71" s="66"/>
      <c r="T71" s="66"/>
      <c r="U71" s="66"/>
      <c r="V71" s="66"/>
      <c r="W71" s="66"/>
      <c r="X71" s="66"/>
      <c r="Y71" s="66"/>
      <c r="Z71" s="66"/>
      <c r="AA71" s="66"/>
    </row>
    <row r="72" spans="7:27" ht="14.25">
      <c r="G72" s="30"/>
      <c r="N72" s="66" t="s">
        <v>1362</v>
      </c>
      <c r="O72" s="66" t="s">
        <v>1489</v>
      </c>
      <c r="P72" s="66"/>
      <c r="Q72" s="66"/>
      <c r="R72" s="66"/>
      <c r="S72" s="66"/>
      <c r="T72" s="66"/>
      <c r="U72" s="66"/>
      <c r="V72" s="66"/>
      <c r="W72" s="66"/>
      <c r="X72" s="66"/>
      <c r="Y72" s="66"/>
      <c r="Z72" s="66"/>
      <c r="AA72" s="66"/>
    </row>
    <row r="73" spans="7:27" ht="14.25">
      <c r="G73" s="30"/>
      <c r="N73" s="66" t="s">
        <v>1367</v>
      </c>
      <c r="O73" s="66" t="s">
        <v>1490</v>
      </c>
      <c r="P73" s="66"/>
      <c r="Q73" s="66"/>
      <c r="R73" s="66"/>
      <c r="S73" s="66"/>
      <c r="T73" s="66"/>
      <c r="U73" s="66"/>
      <c r="V73" s="66"/>
      <c r="W73" s="66"/>
      <c r="X73" s="66"/>
      <c r="Y73" s="66"/>
      <c r="Z73" s="66"/>
      <c r="AA73" s="66"/>
    </row>
    <row r="74" spans="7:27" ht="14.25">
      <c r="G74" s="30"/>
      <c r="N74" s="66" t="s">
        <v>1372</v>
      </c>
      <c r="O74" s="66" t="s">
        <v>1491</v>
      </c>
      <c r="P74" s="66"/>
      <c r="Q74" s="66"/>
      <c r="R74" s="66"/>
      <c r="S74" s="66"/>
      <c r="T74" s="66"/>
      <c r="U74" s="66"/>
      <c r="V74" s="66"/>
      <c r="W74" s="66"/>
      <c r="X74" s="66"/>
      <c r="Y74" s="66"/>
      <c r="Z74" s="66"/>
      <c r="AA74" s="66"/>
    </row>
    <row r="75" spans="7:27" ht="14.25">
      <c r="G75" s="30"/>
      <c r="N75" s="66" t="s">
        <v>1375</v>
      </c>
      <c r="O75" s="66" t="s">
        <v>1492</v>
      </c>
      <c r="P75" s="66"/>
      <c r="Q75" s="66"/>
      <c r="R75" s="66"/>
      <c r="S75" s="66"/>
      <c r="T75" s="66"/>
      <c r="U75" s="66"/>
      <c r="V75" s="66"/>
      <c r="W75" s="66"/>
      <c r="X75" s="66"/>
      <c r="Y75" s="66"/>
      <c r="Z75" s="66"/>
      <c r="AA75" s="66"/>
    </row>
    <row r="76" spans="7:27" ht="14.25">
      <c r="G76" s="30"/>
      <c r="N76" s="66" t="s">
        <v>1376</v>
      </c>
      <c r="O76" s="66" t="s">
        <v>1493</v>
      </c>
      <c r="P76" s="66"/>
      <c r="Q76" s="66"/>
      <c r="R76" s="66"/>
      <c r="S76" s="66"/>
      <c r="T76" s="66"/>
      <c r="U76" s="66"/>
      <c r="V76" s="66"/>
      <c r="W76" s="66"/>
      <c r="X76" s="66"/>
      <c r="Y76" s="66"/>
      <c r="Z76" s="66"/>
      <c r="AA76" s="66"/>
    </row>
    <row r="77" spans="7:27" ht="14.25">
      <c r="G77" s="30"/>
      <c r="N77" s="66" t="s">
        <v>1379</v>
      </c>
      <c r="O77" s="66" t="s">
        <v>1494</v>
      </c>
      <c r="P77" s="66"/>
      <c r="Q77" s="66"/>
      <c r="R77" s="66"/>
      <c r="S77" s="66"/>
      <c r="T77" s="66"/>
      <c r="U77" s="66"/>
      <c r="V77" s="66"/>
      <c r="W77" s="66"/>
      <c r="X77" s="66"/>
      <c r="Y77" s="66"/>
      <c r="Z77" s="66"/>
      <c r="AA77" s="66"/>
    </row>
    <row r="78" spans="7:27" ht="14.25">
      <c r="G78" s="30"/>
      <c r="N78" s="66" t="s">
        <v>1384</v>
      </c>
      <c r="O78" s="66" t="s">
        <v>1495</v>
      </c>
      <c r="P78" s="66"/>
      <c r="Q78" s="66"/>
      <c r="R78" s="66"/>
      <c r="S78" s="66"/>
      <c r="T78" s="66"/>
      <c r="U78" s="66"/>
      <c r="V78" s="66"/>
      <c r="W78" s="66"/>
      <c r="X78" s="66"/>
      <c r="Y78" s="66"/>
      <c r="Z78" s="66"/>
      <c r="AA78" s="66"/>
    </row>
    <row r="79" spans="7:27" ht="14.25">
      <c r="G79" s="30"/>
      <c r="N79" s="66" t="s">
        <v>1389</v>
      </c>
      <c r="O79" s="66" t="s">
        <v>1496</v>
      </c>
      <c r="P79" s="66"/>
      <c r="Q79" s="66"/>
      <c r="R79" s="66"/>
      <c r="S79" s="66"/>
      <c r="T79" s="66"/>
      <c r="U79" s="66"/>
      <c r="V79" s="66"/>
      <c r="W79" s="66"/>
      <c r="X79" s="66"/>
      <c r="Y79" s="66"/>
      <c r="Z79" s="66"/>
      <c r="AA79" s="66"/>
    </row>
    <row r="80" spans="7:27" ht="14.25">
      <c r="G80" s="30"/>
      <c r="N80" s="66" t="s">
        <v>1392</v>
      </c>
      <c r="O80" s="66" t="s">
        <v>1497</v>
      </c>
      <c r="P80" s="66"/>
      <c r="Q80" s="66"/>
      <c r="R80" s="66"/>
      <c r="S80" s="66"/>
      <c r="T80" s="66"/>
      <c r="U80" s="66"/>
      <c r="V80" s="66"/>
      <c r="W80" s="66"/>
      <c r="X80" s="66"/>
      <c r="Y80" s="66"/>
      <c r="Z80" s="66"/>
      <c r="AA80" s="66"/>
    </row>
    <row r="81" spans="7:27" ht="14.25">
      <c r="G81" s="30"/>
      <c r="N81" s="66" t="s">
        <v>1393</v>
      </c>
      <c r="O81" s="66" t="s">
        <v>1498</v>
      </c>
      <c r="P81" s="66"/>
      <c r="Q81" s="66"/>
      <c r="R81" s="66"/>
      <c r="S81" s="66"/>
      <c r="T81" s="66"/>
      <c r="U81" s="66"/>
      <c r="V81" s="66"/>
      <c r="W81" s="66"/>
      <c r="X81" s="66"/>
      <c r="Y81" s="66"/>
      <c r="Z81" s="66"/>
      <c r="AA81" s="66"/>
    </row>
    <row r="82" spans="7:27" ht="14.25">
      <c r="G82" s="30"/>
      <c r="N82" s="66" t="s">
        <v>1395</v>
      </c>
      <c r="O82" s="66" t="s">
        <v>1499</v>
      </c>
      <c r="P82" s="66"/>
      <c r="Q82" s="66"/>
      <c r="R82" s="66"/>
      <c r="S82" s="66"/>
      <c r="T82" s="66"/>
      <c r="U82" s="66"/>
      <c r="V82" s="66"/>
      <c r="W82" s="66"/>
      <c r="X82" s="66"/>
      <c r="Y82" s="66"/>
      <c r="Z82" s="66"/>
      <c r="AA82" s="66"/>
    </row>
    <row r="83" spans="7:27" ht="12.75">
      <c r="G83" s="30"/>
    </row>
    <row r="84" spans="7:27" ht="12.75">
      <c r="G84" s="30"/>
    </row>
    <row r="85" spans="7:27" ht="12.75">
      <c r="G85" s="30"/>
    </row>
    <row r="86" spans="7:27" ht="12.75">
      <c r="G86" s="30"/>
    </row>
    <row r="87" spans="7:27" ht="12.75">
      <c r="G87" s="30"/>
    </row>
    <row r="88" spans="7:27" ht="12.75">
      <c r="G88" s="30"/>
    </row>
    <row r="89" spans="7:27" ht="12.75">
      <c r="G89" s="30"/>
    </row>
    <row r="90" spans="7:27" ht="12.75">
      <c r="G90" s="30"/>
    </row>
    <row r="91" spans="7:27" ht="12.75">
      <c r="G91" s="30"/>
    </row>
    <row r="92" spans="7:27" ht="12.75">
      <c r="G92" s="30"/>
    </row>
    <row r="93" spans="7:27" ht="12.75">
      <c r="G93" s="30"/>
    </row>
    <row r="94" spans="7:27" ht="12.75">
      <c r="G94" s="30"/>
    </row>
    <row r="95" spans="7:27" ht="12.75">
      <c r="G95" s="30"/>
    </row>
    <row r="96" spans="7:27" ht="12.75">
      <c r="G96" s="30"/>
    </row>
    <row r="97" spans="7:7" ht="12.75">
      <c r="G97" s="30"/>
    </row>
    <row r="98" spans="7:7" ht="12.75">
      <c r="G98" s="30"/>
    </row>
    <row r="99" spans="7:7" ht="12.75">
      <c r="G99" s="30"/>
    </row>
    <row r="100" spans="7:7" ht="12.75">
      <c r="G100" s="30"/>
    </row>
    <row r="101" spans="7:7" ht="12.75">
      <c r="G101" s="30"/>
    </row>
    <row r="102" spans="7:7" ht="12.75">
      <c r="G102" s="30"/>
    </row>
    <row r="103" spans="7:7" ht="12.75">
      <c r="G103" s="30"/>
    </row>
    <row r="104" spans="7:7" ht="12.75">
      <c r="G104" s="30"/>
    </row>
    <row r="105" spans="7:7" ht="12.75">
      <c r="G105" s="30"/>
    </row>
    <row r="106" spans="7:7" ht="12.75">
      <c r="G106" s="30"/>
    </row>
    <row r="107" spans="7:7" ht="12.75">
      <c r="G107" s="30"/>
    </row>
    <row r="108" spans="7:7" ht="12.75">
      <c r="G108" s="30"/>
    </row>
    <row r="109" spans="7:7" ht="12.75">
      <c r="G109" s="30"/>
    </row>
    <row r="110" spans="7:7" ht="12.75">
      <c r="G110" s="30"/>
    </row>
    <row r="111" spans="7:7" ht="12.75">
      <c r="G111" s="30"/>
    </row>
    <row r="112" spans="7:7" ht="12.75">
      <c r="G112" s="30"/>
    </row>
    <row r="113" spans="7:7" ht="12.75">
      <c r="G113" s="30"/>
    </row>
    <row r="114" spans="7:7" ht="12.75">
      <c r="G114" s="30"/>
    </row>
    <row r="115" spans="7:7" ht="12.75">
      <c r="G115" s="30"/>
    </row>
    <row r="116" spans="7:7" ht="12.75">
      <c r="G116" s="30"/>
    </row>
    <row r="117" spans="7:7" ht="12.75">
      <c r="G117" s="30"/>
    </row>
    <row r="118" spans="7:7" ht="12.75">
      <c r="G118" s="30"/>
    </row>
    <row r="119" spans="7:7" ht="12.75">
      <c r="G119" s="30"/>
    </row>
    <row r="120" spans="7:7" ht="12.75">
      <c r="G120" s="30"/>
    </row>
    <row r="121" spans="7:7" ht="12.75">
      <c r="G121" s="30"/>
    </row>
    <row r="122" spans="7:7" ht="12.75">
      <c r="G122" s="30"/>
    </row>
    <row r="123" spans="7:7" ht="12.75">
      <c r="G123" s="30"/>
    </row>
    <row r="124" spans="7:7" ht="12.75">
      <c r="G124" s="30"/>
    </row>
    <row r="125" spans="7:7" ht="12.75">
      <c r="G125" s="30"/>
    </row>
    <row r="126" spans="7:7" ht="12.75">
      <c r="G126" s="30"/>
    </row>
    <row r="127" spans="7:7" ht="12.75">
      <c r="G127" s="30"/>
    </row>
    <row r="128" spans="7:7" ht="12.75">
      <c r="G128" s="30"/>
    </row>
    <row r="129" spans="7:7" ht="12.75">
      <c r="G129" s="30"/>
    </row>
    <row r="130" spans="7:7" ht="12.75">
      <c r="G130" s="30"/>
    </row>
    <row r="131" spans="7:7" ht="12.75">
      <c r="G131" s="30"/>
    </row>
    <row r="132" spans="7:7" ht="12.75">
      <c r="G132" s="30"/>
    </row>
    <row r="133" spans="7:7" ht="12.75">
      <c r="G133" s="30"/>
    </row>
    <row r="134" spans="7:7" ht="12.75">
      <c r="G134" s="30"/>
    </row>
    <row r="135" spans="7:7" ht="12.75">
      <c r="G135" s="30"/>
    </row>
    <row r="136" spans="7:7" ht="12.75">
      <c r="G136" s="30"/>
    </row>
    <row r="137" spans="7:7" ht="12.75">
      <c r="G137" s="30"/>
    </row>
    <row r="138" spans="7:7" ht="12.75">
      <c r="G138" s="30"/>
    </row>
    <row r="139" spans="7:7" ht="12.75">
      <c r="G139" s="30"/>
    </row>
    <row r="140" spans="7:7" ht="12.75">
      <c r="G140" s="30"/>
    </row>
    <row r="141" spans="7:7" ht="12.75">
      <c r="G141" s="30"/>
    </row>
    <row r="142" spans="7:7" ht="12.75">
      <c r="G142" s="30"/>
    </row>
    <row r="143" spans="7:7" ht="12.75">
      <c r="G143" s="30"/>
    </row>
    <row r="144" spans="7:7" ht="12.75">
      <c r="G144" s="30"/>
    </row>
    <row r="145" spans="7:7" ht="12.75">
      <c r="G145" s="30"/>
    </row>
    <row r="146" spans="7:7" ht="12.75">
      <c r="G146" s="30"/>
    </row>
    <row r="147" spans="7:7" ht="12.75">
      <c r="G147" s="30"/>
    </row>
    <row r="148" spans="7:7" ht="12.75">
      <c r="G148" s="30"/>
    </row>
    <row r="149" spans="7:7" ht="12.75">
      <c r="G149" s="30"/>
    </row>
    <row r="150" spans="7:7" ht="12.75">
      <c r="G150" s="30"/>
    </row>
    <row r="151" spans="7:7" ht="12.75">
      <c r="G151" s="30"/>
    </row>
    <row r="152" spans="7:7" ht="12.75">
      <c r="G152" s="30"/>
    </row>
    <row r="153" spans="7:7" ht="12.75">
      <c r="G153" s="30"/>
    </row>
    <row r="154" spans="7:7" ht="12.75">
      <c r="G154" s="30"/>
    </row>
    <row r="155" spans="7:7" ht="12.75">
      <c r="G155" s="30"/>
    </row>
    <row r="156" spans="7:7" ht="12.75">
      <c r="G156" s="30"/>
    </row>
    <row r="157" spans="7:7" ht="12.75">
      <c r="G157" s="30"/>
    </row>
    <row r="158" spans="7:7" ht="12.75">
      <c r="G158" s="30"/>
    </row>
    <row r="159" spans="7:7" ht="12.75">
      <c r="G159" s="30"/>
    </row>
    <row r="160" spans="7:7" ht="12.75">
      <c r="G160" s="30"/>
    </row>
    <row r="161" spans="7:7" ht="12.75">
      <c r="G161" s="30"/>
    </row>
    <row r="162" spans="7:7" ht="12.75">
      <c r="G162" s="30"/>
    </row>
    <row r="163" spans="7:7" ht="12.75">
      <c r="G163" s="30"/>
    </row>
    <row r="164" spans="7:7" ht="12.75">
      <c r="G164" s="30"/>
    </row>
    <row r="165" spans="7:7" ht="12.75">
      <c r="G165" s="30"/>
    </row>
    <row r="166" spans="7:7" ht="12.75">
      <c r="G166" s="30"/>
    </row>
    <row r="167" spans="7:7" ht="12.75">
      <c r="G167" s="30"/>
    </row>
    <row r="168" spans="7:7" ht="12.75">
      <c r="G168" s="30"/>
    </row>
    <row r="169" spans="7:7" ht="12.75">
      <c r="G169" s="30"/>
    </row>
    <row r="170" spans="7:7" ht="12.75">
      <c r="G170" s="30"/>
    </row>
    <row r="171" spans="7:7" ht="12.75">
      <c r="G171" s="30"/>
    </row>
    <row r="172" spans="7:7" ht="12.75">
      <c r="G172" s="30"/>
    </row>
    <row r="173" spans="7:7" ht="12.75">
      <c r="G173" s="30"/>
    </row>
    <row r="174" spans="7:7" ht="12.75">
      <c r="G174" s="30"/>
    </row>
    <row r="175" spans="7:7" ht="12.75">
      <c r="G175" s="30"/>
    </row>
    <row r="176" spans="7:7" ht="12.75">
      <c r="G176" s="30"/>
    </row>
    <row r="177" spans="7:7" ht="12.75">
      <c r="G177" s="30"/>
    </row>
    <row r="178" spans="7:7" ht="12.75">
      <c r="G178" s="30"/>
    </row>
    <row r="179" spans="7:7" ht="12.75">
      <c r="G179" s="30"/>
    </row>
    <row r="180" spans="7:7" ht="12.75">
      <c r="G180" s="30"/>
    </row>
    <row r="181" spans="7:7" ht="12.75">
      <c r="G181" s="30"/>
    </row>
    <row r="182" spans="7:7" ht="12.75">
      <c r="G182" s="30"/>
    </row>
    <row r="183" spans="7:7" ht="12.75">
      <c r="G183" s="30"/>
    </row>
    <row r="184" spans="7:7" ht="12.75">
      <c r="G184" s="30"/>
    </row>
    <row r="185" spans="7:7" ht="12.75">
      <c r="G185" s="30"/>
    </row>
    <row r="186" spans="7:7" ht="12.75">
      <c r="G186" s="30"/>
    </row>
    <row r="187" spans="7:7" ht="12.75">
      <c r="G187" s="30"/>
    </row>
    <row r="188" spans="7:7" ht="12.75">
      <c r="G188" s="30"/>
    </row>
    <row r="189" spans="7:7" ht="12.75">
      <c r="G189" s="30"/>
    </row>
    <row r="190" spans="7:7" ht="12.75">
      <c r="G190" s="30"/>
    </row>
    <row r="191" spans="7:7" ht="12.75">
      <c r="G191" s="30"/>
    </row>
    <row r="192" spans="7:7" ht="12.75">
      <c r="G192" s="30"/>
    </row>
    <row r="193" spans="7:7" ht="12.75">
      <c r="G193" s="30"/>
    </row>
    <row r="194" spans="7:7" ht="12.75">
      <c r="G194" s="30"/>
    </row>
    <row r="195" spans="7:7" ht="12.75">
      <c r="G195" s="30"/>
    </row>
    <row r="196" spans="7:7" ht="12.75">
      <c r="G196" s="30"/>
    </row>
    <row r="197" spans="7:7" ht="12.75">
      <c r="G197" s="30"/>
    </row>
    <row r="198" spans="7:7" ht="12.75">
      <c r="G198" s="30"/>
    </row>
    <row r="199" spans="7:7" ht="12.75">
      <c r="G199" s="30"/>
    </row>
    <row r="200" spans="7:7" ht="12.75">
      <c r="G200" s="30"/>
    </row>
    <row r="201" spans="7:7" ht="12.75">
      <c r="G201" s="30"/>
    </row>
    <row r="202" spans="7:7" ht="12.75">
      <c r="G202" s="30"/>
    </row>
    <row r="203" spans="7:7" ht="12.75">
      <c r="G203" s="30"/>
    </row>
    <row r="204" spans="7:7" ht="12.75">
      <c r="G204" s="30"/>
    </row>
    <row r="205" spans="7:7" ht="12.75">
      <c r="G205" s="30"/>
    </row>
    <row r="206" spans="7:7" ht="12.75">
      <c r="G206" s="30"/>
    </row>
    <row r="207" spans="7:7" ht="12.75">
      <c r="G207" s="30"/>
    </row>
    <row r="208" spans="7:7" ht="12.75">
      <c r="G208" s="30"/>
    </row>
    <row r="209" spans="7:7" ht="12.75">
      <c r="G209" s="30"/>
    </row>
    <row r="210" spans="7:7" ht="12.75">
      <c r="G210" s="30"/>
    </row>
    <row r="211" spans="7:7" ht="12.75">
      <c r="G211" s="30"/>
    </row>
    <row r="212" spans="7:7" ht="12.75">
      <c r="G212" s="30"/>
    </row>
    <row r="213" spans="7:7" ht="12.75">
      <c r="G213" s="30"/>
    </row>
    <row r="214" spans="7:7" ht="12.75">
      <c r="G214" s="30"/>
    </row>
    <row r="215" spans="7:7" ht="12.75">
      <c r="G215" s="30"/>
    </row>
    <row r="216" spans="7:7" ht="12.75">
      <c r="G216" s="30"/>
    </row>
    <row r="217" spans="7:7" ht="12.75">
      <c r="G217" s="30"/>
    </row>
    <row r="218" spans="7:7" ht="12.75">
      <c r="G218" s="30"/>
    </row>
    <row r="219" spans="7:7" ht="12.75">
      <c r="G219" s="30"/>
    </row>
    <row r="220" spans="7:7" ht="12.75">
      <c r="G220" s="30"/>
    </row>
    <row r="221" spans="7:7" ht="12.75">
      <c r="G221" s="30"/>
    </row>
    <row r="222" spans="7:7" ht="12.75">
      <c r="G222" s="30"/>
    </row>
    <row r="223" spans="7:7" ht="12.75">
      <c r="G223" s="30"/>
    </row>
    <row r="224" spans="7:7" ht="12.75">
      <c r="G224" s="30"/>
    </row>
    <row r="225" spans="7:7" ht="12.75">
      <c r="G225" s="30"/>
    </row>
    <row r="226" spans="7:7" ht="12.75">
      <c r="G226" s="30"/>
    </row>
    <row r="227" spans="7:7" ht="12.75">
      <c r="G227" s="30"/>
    </row>
    <row r="228" spans="7:7" ht="12.75">
      <c r="G228" s="30"/>
    </row>
    <row r="229" spans="7:7" ht="12.75">
      <c r="G229" s="30"/>
    </row>
    <row r="230" spans="7:7" ht="12.75">
      <c r="G230" s="30"/>
    </row>
    <row r="231" spans="7:7" ht="12.75">
      <c r="G231" s="30"/>
    </row>
    <row r="232" spans="7:7" ht="12.75">
      <c r="G232" s="30"/>
    </row>
    <row r="233" spans="7:7" ht="12.75">
      <c r="G233" s="30"/>
    </row>
    <row r="234" spans="7:7" ht="12.75">
      <c r="G234" s="30"/>
    </row>
    <row r="235" spans="7:7" ht="12.75">
      <c r="G235" s="30"/>
    </row>
    <row r="236" spans="7:7" ht="12.75">
      <c r="G236" s="30"/>
    </row>
    <row r="237" spans="7:7" ht="12.75">
      <c r="G237" s="30"/>
    </row>
    <row r="238" spans="7:7" ht="12.75">
      <c r="G238" s="30"/>
    </row>
    <row r="239" spans="7:7" ht="12.75">
      <c r="G239" s="30"/>
    </row>
    <row r="240" spans="7:7" ht="12.75">
      <c r="G240" s="30"/>
    </row>
    <row r="241" spans="7:7" ht="12.75">
      <c r="G241" s="30"/>
    </row>
    <row r="242" spans="7:7" ht="12.75">
      <c r="G242" s="30"/>
    </row>
    <row r="243" spans="7:7" ht="12.75">
      <c r="G243" s="30"/>
    </row>
    <row r="244" spans="7:7" ht="12.75">
      <c r="G244" s="30"/>
    </row>
    <row r="245" spans="7:7" ht="12.75">
      <c r="G245" s="30"/>
    </row>
    <row r="246" spans="7:7" ht="12.75">
      <c r="G246" s="30"/>
    </row>
    <row r="247" spans="7:7" ht="12.75">
      <c r="G247" s="30"/>
    </row>
    <row r="248" spans="7:7" ht="12.75">
      <c r="G248" s="30"/>
    </row>
    <row r="249" spans="7:7" ht="12.75">
      <c r="G249" s="30"/>
    </row>
    <row r="250" spans="7:7" ht="12.75">
      <c r="G250" s="30"/>
    </row>
    <row r="251" spans="7:7" ht="12.75">
      <c r="G251" s="30"/>
    </row>
    <row r="252" spans="7:7" ht="12.75">
      <c r="G252" s="30"/>
    </row>
    <row r="253" spans="7:7" ht="12.75">
      <c r="G253" s="30"/>
    </row>
    <row r="254" spans="7:7" ht="12.75">
      <c r="G254" s="30"/>
    </row>
    <row r="255" spans="7:7" ht="12.75">
      <c r="G255" s="30"/>
    </row>
    <row r="256" spans="7:7" ht="12.75">
      <c r="G256" s="30"/>
    </row>
    <row r="257" spans="7:7" ht="12.75">
      <c r="G257" s="30"/>
    </row>
    <row r="258" spans="7:7" ht="12.75">
      <c r="G258" s="30"/>
    </row>
    <row r="259" spans="7:7" ht="12.75">
      <c r="G259" s="30"/>
    </row>
    <row r="260" spans="7:7" ht="12.75">
      <c r="G260" s="30"/>
    </row>
    <row r="261" spans="7:7" ht="12.75">
      <c r="G261" s="30"/>
    </row>
    <row r="262" spans="7:7" ht="12.75">
      <c r="G262" s="30"/>
    </row>
    <row r="263" spans="7:7" ht="12.75">
      <c r="G263" s="30"/>
    </row>
    <row r="264" spans="7:7" ht="12.75">
      <c r="G264" s="30"/>
    </row>
    <row r="265" spans="7:7" ht="12.75">
      <c r="G265" s="30"/>
    </row>
    <row r="266" spans="7:7" ht="12.75">
      <c r="G266" s="30"/>
    </row>
    <row r="267" spans="7:7" ht="12.75">
      <c r="G267" s="30"/>
    </row>
    <row r="268" spans="7:7" ht="12.75">
      <c r="G268" s="30"/>
    </row>
    <row r="269" spans="7:7" ht="12.75">
      <c r="G269" s="30"/>
    </row>
    <row r="270" spans="7:7" ht="12.75">
      <c r="G270" s="30"/>
    </row>
    <row r="271" spans="7:7" ht="12.75">
      <c r="G271" s="30"/>
    </row>
    <row r="272" spans="7:7" ht="12.75">
      <c r="G272" s="30"/>
    </row>
    <row r="273" spans="7:7" ht="12.75">
      <c r="G273" s="30"/>
    </row>
    <row r="274" spans="7:7" ht="12.75">
      <c r="G274" s="30"/>
    </row>
    <row r="275" spans="7:7" ht="12.75">
      <c r="G275" s="30"/>
    </row>
    <row r="276" spans="7:7" ht="12.75">
      <c r="G276" s="30"/>
    </row>
    <row r="277" spans="7:7" ht="12.75">
      <c r="G277" s="30"/>
    </row>
    <row r="278" spans="7:7" ht="12.75">
      <c r="G278" s="30"/>
    </row>
    <row r="279" spans="7:7" ht="12.75">
      <c r="G279" s="30"/>
    </row>
    <row r="280" spans="7:7" ht="12.75">
      <c r="G280" s="30"/>
    </row>
    <row r="281" spans="7:7" ht="12.75">
      <c r="G281" s="30"/>
    </row>
    <row r="282" spans="7:7" ht="12.75">
      <c r="G282" s="30"/>
    </row>
    <row r="283" spans="7:7" ht="12.75">
      <c r="G283" s="30"/>
    </row>
    <row r="284" spans="7:7" ht="12.75">
      <c r="G284" s="30"/>
    </row>
    <row r="285" spans="7:7" ht="12.75">
      <c r="G285" s="30"/>
    </row>
    <row r="286" spans="7:7" ht="12.75">
      <c r="G286" s="30"/>
    </row>
    <row r="287" spans="7:7" ht="12.75">
      <c r="G287" s="30"/>
    </row>
    <row r="288" spans="7:7" ht="12.75">
      <c r="G288" s="30"/>
    </row>
    <row r="289" spans="7:7" ht="12.75">
      <c r="G289" s="30"/>
    </row>
    <row r="290" spans="7:7" ht="12.75">
      <c r="G290" s="30"/>
    </row>
    <row r="291" spans="7:7" ht="12.75">
      <c r="G291" s="30"/>
    </row>
    <row r="292" spans="7:7" ht="12.75">
      <c r="G292" s="30"/>
    </row>
    <row r="293" spans="7:7" ht="12.75">
      <c r="G293" s="30"/>
    </row>
    <row r="294" spans="7:7" ht="12.75">
      <c r="G294" s="30"/>
    </row>
    <row r="295" spans="7:7" ht="12.75">
      <c r="G295" s="30"/>
    </row>
    <row r="296" spans="7:7" ht="12.75">
      <c r="G296" s="30"/>
    </row>
    <row r="297" spans="7:7" ht="12.75">
      <c r="G297" s="30"/>
    </row>
    <row r="298" spans="7:7" ht="12.75">
      <c r="G298" s="30"/>
    </row>
    <row r="299" spans="7:7" ht="12.75">
      <c r="G299" s="30"/>
    </row>
    <row r="300" spans="7:7" ht="12.75">
      <c r="G300" s="30"/>
    </row>
    <row r="301" spans="7:7" ht="12.75">
      <c r="G301" s="30"/>
    </row>
    <row r="302" spans="7:7" ht="12.75">
      <c r="G302" s="30"/>
    </row>
    <row r="303" spans="7:7" ht="12.75">
      <c r="G303" s="30"/>
    </row>
    <row r="304" spans="7:7" ht="12.75">
      <c r="G304" s="30"/>
    </row>
    <row r="305" spans="7:7" ht="12.75">
      <c r="G305" s="30"/>
    </row>
    <row r="306" spans="7:7" ht="12.75">
      <c r="G306" s="30"/>
    </row>
    <row r="307" spans="7:7" ht="12.75">
      <c r="G307" s="30"/>
    </row>
    <row r="308" spans="7:7" ht="12.75">
      <c r="G308" s="30"/>
    </row>
    <row r="309" spans="7:7" ht="12.75">
      <c r="G309" s="30"/>
    </row>
    <row r="310" spans="7:7" ht="12.75">
      <c r="G310" s="30"/>
    </row>
    <row r="311" spans="7:7" ht="12.75">
      <c r="G311" s="30"/>
    </row>
    <row r="312" spans="7:7" ht="12.75">
      <c r="G312" s="30"/>
    </row>
    <row r="313" spans="7:7" ht="12.75">
      <c r="G313" s="30"/>
    </row>
    <row r="314" spans="7:7" ht="12.75">
      <c r="G314" s="30"/>
    </row>
    <row r="315" spans="7:7" ht="12.75">
      <c r="G315" s="30"/>
    </row>
    <row r="316" spans="7:7" ht="12.75">
      <c r="G316" s="30"/>
    </row>
    <row r="317" spans="7:7" ht="12.75">
      <c r="G317" s="30"/>
    </row>
    <row r="318" spans="7:7" ht="12.75">
      <c r="G318" s="30"/>
    </row>
    <row r="319" spans="7:7" ht="12.75">
      <c r="G319" s="30"/>
    </row>
    <row r="320" spans="7:7" ht="12.75">
      <c r="G320" s="30"/>
    </row>
    <row r="321" spans="7:7" ht="12.75">
      <c r="G321" s="30"/>
    </row>
    <row r="322" spans="7:7" ht="12.75">
      <c r="G322" s="30"/>
    </row>
    <row r="323" spans="7:7" ht="12.75">
      <c r="G323" s="30"/>
    </row>
    <row r="324" spans="7:7" ht="12.75">
      <c r="G324" s="30"/>
    </row>
    <row r="325" spans="7:7" ht="12.75">
      <c r="G325" s="30"/>
    </row>
    <row r="326" spans="7:7" ht="12.75">
      <c r="G326" s="30"/>
    </row>
    <row r="327" spans="7:7" ht="12.75">
      <c r="G327" s="30"/>
    </row>
    <row r="328" spans="7:7" ht="12.75">
      <c r="G328" s="30"/>
    </row>
    <row r="329" spans="7:7" ht="12.75">
      <c r="G329" s="30"/>
    </row>
    <row r="330" spans="7:7" ht="12.75">
      <c r="G330" s="30"/>
    </row>
    <row r="331" spans="7:7" ht="12.75">
      <c r="G331" s="30"/>
    </row>
    <row r="332" spans="7:7" ht="12.75">
      <c r="G332" s="30"/>
    </row>
    <row r="333" spans="7:7" ht="12.75">
      <c r="G333" s="30"/>
    </row>
    <row r="334" spans="7:7" ht="12.75">
      <c r="G334" s="30"/>
    </row>
    <row r="335" spans="7:7" ht="12.75">
      <c r="G335" s="30"/>
    </row>
    <row r="336" spans="7:7" ht="12.75">
      <c r="G336" s="30"/>
    </row>
    <row r="337" spans="7:7" ht="12.75">
      <c r="G337" s="30"/>
    </row>
    <row r="338" spans="7:7" ht="12.75">
      <c r="G338" s="30"/>
    </row>
    <row r="339" spans="7:7" ht="12.75">
      <c r="G339" s="30"/>
    </row>
    <row r="340" spans="7:7" ht="12.75">
      <c r="G340" s="30"/>
    </row>
    <row r="341" spans="7:7" ht="12.75">
      <c r="G341" s="30"/>
    </row>
    <row r="342" spans="7:7" ht="12.75">
      <c r="G342" s="30"/>
    </row>
    <row r="343" spans="7:7" ht="12.75">
      <c r="G343" s="30"/>
    </row>
    <row r="344" spans="7:7" ht="12.75">
      <c r="G344" s="30"/>
    </row>
    <row r="345" spans="7:7" ht="12.75">
      <c r="G345" s="30"/>
    </row>
    <row r="346" spans="7:7" ht="12.75">
      <c r="G346" s="30"/>
    </row>
    <row r="347" spans="7:7" ht="12.75">
      <c r="G347" s="30"/>
    </row>
    <row r="348" spans="7:7" ht="12.75">
      <c r="G348" s="30"/>
    </row>
    <row r="349" spans="7:7" ht="12.75">
      <c r="G349" s="30"/>
    </row>
    <row r="350" spans="7:7" ht="12.75">
      <c r="G350" s="30"/>
    </row>
    <row r="351" spans="7:7" ht="12.75">
      <c r="G351" s="30"/>
    </row>
    <row r="352" spans="7:7" ht="12.75">
      <c r="G352" s="30"/>
    </row>
    <row r="353" spans="7:7" ht="12.75">
      <c r="G353" s="30"/>
    </row>
    <row r="354" spans="7:7" ht="12.75">
      <c r="G354" s="30"/>
    </row>
    <row r="355" spans="7:7" ht="12.75">
      <c r="G355" s="30"/>
    </row>
    <row r="356" spans="7:7" ht="12.75">
      <c r="G356" s="30"/>
    </row>
    <row r="357" spans="7:7" ht="12.75">
      <c r="G357" s="30"/>
    </row>
    <row r="358" spans="7:7" ht="12.75">
      <c r="G358" s="30"/>
    </row>
    <row r="359" spans="7:7" ht="12.75">
      <c r="G359" s="30"/>
    </row>
    <row r="360" spans="7:7" ht="12.75">
      <c r="G360" s="30"/>
    </row>
    <row r="361" spans="7:7" ht="12.75">
      <c r="G361" s="30"/>
    </row>
    <row r="362" spans="7:7" ht="12.75">
      <c r="G362" s="30"/>
    </row>
    <row r="363" spans="7:7" ht="12.75">
      <c r="G363" s="30"/>
    </row>
    <row r="364" spans="7:7" ht="12.75">
      <c r="G364" s="30"/>
    </row>
    <row r="365" spans="7:7" ht="12.75">
      <c r="G365" s="30"/>
    </row>
    <row r="366" spans="7:7" ht="12.75">
      <c r="G366" s="30"/>
    </row>
    <row r="367" spans="7:7" ht="12.75">
      <c r="G367" s="30"/>
    </row>
    <row r="368" spans="7:7" ht="12.75">
      <c r="G368" s="30"/>
    </row>
    <row r="369" spans="7:7" ht="12.75">
      <c r="G369" s="30"/>
    </row>
    <row r="370" spans="7:7" ht="12.75">
      <c r="G370" s="30"/>
    </row>
    <row r="371" spans="7:7" ht="12.75">
      <c r="G371" s="30"/>
    </row>
    <row r="372" spans="7:7" ht="12.75">
      <c r="G372" s="30"/>
    </row>
    <row r="373" spans="7:7" ht="12.75">
      <c r="G373" s="30"/>
    </row>
    <row r="374" spans="7:7" ht="12.75">
      <c r="G374" s="30"/>
    </row>
    <row r="375" spans="7:7" ht="12.75">
      <c r="G375" s="30"/>
    </row>
    <row r="376" spans="7:7" ht="12.75">
      <c r="G376" s="30"/>
    </row>
    <row r="377" spans="7:7" ht="12.75">
      <c r="G377" s="30"/>
    </row>
    <row r="378" spans="7:7" ht="12.75">
      <c r="G378" s="30"/>
    </row>
    <row r="379" spans="7:7" ht="12.75">
      <c r="G379" s="30"/>
    </row>
    <row r="380" spans="7:7" ht="12.75">
      <c r="G380" s="30"/>
    </row>
    <row r="381" spans="7:7" ht="12.75">
      <c r="G381" s="30"/>
    </row>
    <row r="382" spans="7:7" ht="12.75">
      <c r="G382" s="30"/>
    </row>
    <row r="383" spans="7:7" ht="12.75">
      <c r="G383" s="30"/>
    </row>
    <row r="384" spans="7:7" ht="12.75">
      <c r="G384" s="30"/>
    </row>
    <row r="385" spans="7:7" ht="12.75">
      <c r="G385" s="30"/>
    </row>
    <row r="386" spans="7:7" ht="12.75">
      <c r="G386" s="30"/>
    </row>
    <row r="387" spans="7:7" ht="12.75">
      <c r="G387" s="30"/>
    </row>
    <row r="388" spans="7:7" ht="12.75">
      <c r="G388" s="30"/>
    </row>
    <row r="389" spans="7:7" ht="12.75">
      <c r="G389" s="30"/>
    </row>
    <row r="390" spans="7:7" ht="12.75">
      <c r="G390" s="30"/>
    </row>
    <row r="391" spans="7:7" ht="12.75">
      <c r="G391" s="30"/>
    </row>
    <row r="392" spans="7:7" ht="12.75">
      <c r="G392" s="30"/>
    </row>
    <row r="393" spans="7:7" ht="12.75">
      <c r="G393" s="30"/>
    </row>
    <row r="394" spans="7:7" ht="12.75">
      <c r="G394" s="30"/>
    </row>
    <row r="395" spans="7:7" ht="12.75">
      <c r="G395" s="30"/>
    </row>
    <row r="396" spans="7:7" ht="12.75">
      <c r="G396" s="30"/>
    </row>
    <row r="397" spans="7:7" ht="12.75">
      <c r="G397" s="30"/>
    </row>
    <row r="398" spans="7:7" ht="12.75">
      <c r="G398" s="30"/>
    </row>
    <row r="399" spans="7:7" ht="12.75">
      <c r="G399" s="30"/>
    </row>
    <row r="400" spans="7:7" ht="12.75">
      <c r="G400" s="30"/>
    </row>
    <row r="401" spans="7:7" ht="12.75">
      <c r="G401" s="30"/>
    </row>
    <row r="402" spans="7:7" ht="12.75">
      <c r="G402" s="30"/>
    </row>
    <row r="403" spans="7:7" ht="12.75">
      <c r="G403" s="30"/>
    </row>
    <row r="404" spans="7:7" ht="12.75">
      <c r="G404" s="30"/>
    </row>
    <row r="405" spans="7:7" ht="12.75">
      <c r="G405" s="30"/>
    </row>
    <row r="406" spans="7:7" ht="12.75">
      <c r="G406" s="30"/>
    </row>
    <row r="407" spans="7:7" ht="12.75">
      <c r="G407" s="30"/>
    </row>
    <row r="408" spans="7:7" ht="12.75">
      <c r="G408" s="30"/>
    </row>
    <row r="409" spans="7:7" ht="12.75">
      <c r="G409" s="30"/>
    </row>
    <row r="410" spans="7:7" ht="12.75">
      <c r="G410" s="30"/>
    </row>
    <row r="411" spans="7:7" ht="12.75">
      <c r="G411" s="30"/>
    </row>
    <row r="412" spans="7:7" ht="12.75">
      <c r="G412" s="30"/>
    </row>
    <row r="413" spans="7:7" ht="12.75">
      <c r="G413" s="30"/>
    </row>
    <row r="414" spans="7:7" ht="12.75">
      <c r="G414" s="30"/>
    </row>
    <row r="415" spans="7:7" ht="12.75">
      <c r="G415" s="30"/>
    </row>
    <row r="416" spans="7:7" ht="12.75">
      <c r="G416" s="30"/>
    </row>
    <row r="417" spans="7:7" ht="12.75">
      <c r="G417" s="30"/>
    </row>
    <row r="418" spans="7:7" ht="12.75">
      <c r="G418" s="30"/>
    </row>
    <row r="419" spans="7:7" ht="12.75">
      <c r="G419" s="30"/>
    </row>
    <row r="420" spans="7:7" ht="12.75">
      <c r="G420" s="30"/>
    </row>
    <row r="421" spans="7:7" ht="12.75">
      <c r="G421" s="30"/>
    </row>
    <row r="422" spans="7:7" ht="12.75">
      <c r="G422" s="30"/>
    </row>
    <row r="423" spans="7:7" ht="12.75">
      <c r="G423" s="30"/>
    </row>
    <row r="424" spans="7:7" ht="12.75">
      <c r="G424" s="30"/>
    </row>
    <row r="425" spans="7:7" ht="12.75">
      <c r="G425" s="30"/>
    </row>
    <row r="426" spans="7:7" ht="12.75">
      <c r="G426" s="30"/>
    </row>
    <row r="427" spans="7:7" ht="12.75">
      <c r="G427" s="30"/>
    </row>
    <row r="428" spans="7:7" ht="12.75">
      <c r="G428" s="30"/>
    </row>
    <row r="429" spans="7:7" ht="12.75">
      <c r="G429" s="30"/>
    </row>
    <row r="430" spans="7:7" ht="12.75">
      <c r="G430" s="30"/>
    </row>
    <row r="431" spans="7:7" ht="12.75">
      <c r="G431" s="30"/>
    </row>
    <row r="432" spans="7:7" ht="12.75">
      <c r="G432" s="30"/>
    </row>
    <row r="433" spans="7:7" ht="12.75">
      <c r="G433" s="30"/>
    </row>
    <row r="434" spans="7:7" ht="12.75">
      <c r="G434" s="30"/>
    </row>
    <row r="435" spans="7:7" ht="12.75">
      <c r="G435" s="30"/>
    </row>
    <row r="436" spans="7:7" ht="12.75">
      <c r="G436" s="30"/>
    </row>
    <row r="437" spans="7:7" ht="12.75">
      <c r="G437" s="30"/>
    </row>
    <row r="438" spans="7:7" ht="12.75">
      <c r="G438" s="30"/>
    </row>
    <row r="439" spans="7:7" ht="12.75">
      <c r="G439" s="30"/>
    </row>
    <row r="440" spans="7:7" ht="12.75">
      <c r="G440" s="30"/>
    </row>
    <row r="441" spans="7:7" ht="12.75">
      <c r="G441" s="30"/>
    </row>
    <row r="442" spans="7:7" ht="12.75">
      <c r="G442" s="30"/>
    </row>
    <row r="443" spans="7:7" ht="12.75">
      <c r="G443" s="30"/>
    </row>
    <row r="444" spans="7:7" ht="12.75">
      <c r="G444" s="30"/>
    </row>
    <row r="445" spans="7:7" ht="12.75">
      <c r="G445" s="30"/>
    </row>
    <row r="446" spans="7:7" ht="12.75">
      <c r="G446" s="30"/>
    </row>
    <row r="447" spans="7:7" ht="12.75">
      <c r="G447" s="30"/>
    </row>
    <row r="448" spans="7:7" ht="12.75">
      <c r="G448" s="30"/>
    </row>
    <row r="449" spans="7:7" ht="12.75">
      <c r="G449" s="30"/>
    </row>
    <row r="450" spans="7:7" ht="12.75">
      <c r="G450" s="30"/>
    </row>
    <row r="451" spans="7:7" ht="12.75">
      <c r="G451" s="30"/>
    </row>
    <row r="452" spans="7:7" ht="12.75">
      <c r="G452" s="30"/>
    </row>
    <row r="453" spans="7:7" ht="12.75">
      <c r="G453" s="30"/>
    </row>
    <row r="454" spans="7:7" ht="12.75">
      <c r="G454" s="30"/>
    </row>
    <row r="455" spans="7:7" ht="12.75">
      <c r="G455" s="30"/>
    </row>
    <row r="456" spans="7:7" ht="12.75">
      <c r="G456" s="30"/>
    </row>
    <row r="457" spans="7:7" ht="12.75">
      <c r="G457" s="30"/>
    </row>
    <row r="458" spans="7:7" ht="12.75">
      <c r="G458" s="30"/>
    </row>
    <row r="459" spans="7:7" ht="12.75">
      <c r="G459" s="30"/>
    </row>
    <row r="460" spans="7:7" ht="12.75">
      <c r="G460" s="30"/>
    </row>
    <row r="461" spans="7:7" ht="12.75">
      <c r="G461" s="30"/>
    </row>
    <row r="462" spans="7:7" ht="12.75">
      <c r="G462" s="30"/>
    </row>
    <row r="463" spans="7:7" ht="12.75">
      <c r="G463" s="30"/>
    </row>
    <row r="464" spans="7:7" ht="12.75">
      <c r="G464" s="30"/>
    </row>
    <row r="465" spans="7:7" ht="12.75">
      <c r="G465" s="30"/>
    </row>
    <row r="466" spans="7:7" ht="12.75">
      <c r="G466" s="30"/>
    </row>
    <row r="467" spans="7:7" ht="12.75">
      <c r="G467" s="30"/>
    </row>
    <row r="468" spans="7:7" ht="12.75">
      <c r="G468" s="30"/>
    </row>
    <row r="469" spans="7:7" ht="12.75">
      <c r="G469" s="30"/>
    </row>
    <row r="470" spans="7:7" ht="12.75">
      <c r="G470" s="30"/>
    </row>
    <row r="471" spans="7:7" ht="12.75">
      <c r="G471" s="30"/>
    </row>
    <row r="472" spans="7:7" ht="12.75">
      <c r="G472" s="30"/>
    </row>
    <row r="473" spans="7:7" ht="12.75">
      <c r="G473" s="30"/>
    </row>
    <row r="474" spans="7:7" ht="12.75">
      <c r="G474" s="30"/>
    </row>
    <row r="475" spans="7:7" ht="12.75">
      <c r="G475" s="30"/>
    </row>
    <row r="476" spans="7:7" ht="12.75">
      <c r="G476" s="30"/>
    </row>
    <row r="477" spans="7:7" ht="12.75">
      <c r="G477" s="30"/>
    </row>
    <row r="478" spans="7:7" ht="12.75">
      <c r="G478" s="30"/>
    </row>
    <row r="479" spans="7:7" ht="12.75">
      <c r="G479" s="30"/>
    </row>
    <row r="480" spans="7:7" ht="12.75">
      <c r="G480" s="30"/>
    </row>
    <row r="481" spans="7:7" ht="12.75">
      <c r="G481" s="30"/>
    </row>
    <row r="482" spans="7:7" ht="12.75">
      <c r="G482" s="30"/>
    </row>
    <row r="483" spans="7:7" ht="12.75">
      <c r="G483" s="30"/>
    </row>
    <row r="484" spans="7:7" ht="12.75">
      <c r="G484" s="30"/>
    </row>
    <row r="485" spans="7:7" ht="12.75">
      <c r="G485" s="30"/>
    </row>
    <row r="486" spans="7:7" ht="12.75">
      <c r="G486" s="30"/>
    </row>
    <row r="487" spans="7:7" ht="12.75">
      <c r="G487" s="30"/>
    </row>
    <row r="488" spans="7:7" ht="12.75">
      <c r="G488" s="30"/>
    </row>
    <row r="489" spans="7:7" ht="12.75">
      <c r="G489" s="30"/>
    </row>
    <row r="490" spans="7:7" ht="12.75">
      <c r="G490" s="30"/>
    </row>
    <row r="491" spans="7:7" ht="12.75">
      <c r="G491" s="30"/>
    </row>
    <row r="492" spans="7:7" ht="12.75">
      <c r="G492" s="30"/>
    </row>
    <row r="493" spans="7:7" ht="12.75">
      <c r="G493" s="30"/>
    </row>
    <row r="494" spans="7:7" ht="12.75">
      <c r="G494" s="30"/>
    </row>
    <row r="495" spans="7:7" ht="12.75">
      <c r="G495" s="30"/>
    </row>
    <row r="496" spans="7:7" ht="12.75">
      <c r="G496" s="30"/>
    </row>
    <row r="497" spans="7:7" ht="12.75">
      <c r="G497" s="30"/>
    </row>
    <row r="498" spans="7:7" ht="12.75">
      <c r="G498" s="30"/>
    </row>
    <row r="499" spans="7:7" ht="12.75">
      <c r="G499" s="30"/>
    </row>
    <row r="500" spans="7:7" ht="12.75">
      <c r="G500" s="30"/>
    </row>
    <row r="501" spans="7:7" ht="12.75">
      <c r="G501" s="30"/>
    </row>
    <row r="502" spans="7:7" ht="12.75">
      <c r="G502" s="30"/>
    </row>
    <row r="503" spans="7:7" ht="12.75">
      <c r="G503" s="30"/>
    </row>
    <row r="504" spans="7:7" ht="12.75">
      <c r="G504" s="30"/>
    </row>
    <row r="505" spans="7:7" ht="12.75">
      <c r="G505" s="30"/>
    </row>
    <row r="506" spans="7:7" ht="12.75">
      <c r="G506" s="30"/>
    </row>
    <row r="507" spans="7:7" ht="12.75">
      <c r="G507" s="30"/>
    </row>
    <row r="508" spans="7:7" ht="12.75">
      <c r="G508" s="30"/>
    </row>
    <row r="509" spans="7:7" ht="12.75">
      <c r="G509" s="30"/>
    </row>
    <row r="510" spans="7:7" ht="12.75">
      <c r="G510" s="30"/>
    </row>
    <row r="511" spans="7:7" ht="12.75">
      <c r="G511" s="30"/>
    </row>
    <row r="512" spans="7:7" ht="12.75">
      <c r="G512" s="30"/>
    </row>
    <row r="513" spans="7:7" ht="12.75">
      <c r="G513" s="30"/>
    </row>
    <row r="514" spans="7:7" ht="12.75">
      <c r="G514" s="30"/>
    </row>
    <row r="515" spans="7:7" ht="12.75">
      <c r="G515" s="30"/>
    </row>
    <row r="516" spans="7:7" ht="12.75">
      <c r="G516" s="30"/>
    </row>
    <row r="517" spans="7:7" ht="12.75">
      <c r="G517" s="30"/>
    </row>
    <row r="518" spans="7:7" ht="12.75">
      <c r="G518" s="30"/>
    </row>
    <row r="519" spans="7:7" ht="12.75">
      <c r="G519" s="30"/>
    </row>
    <row r="520" spans="7:7" ht="12.75">
      <c r="G520" s="30"/>
    </row>
    <row r="521" spans="7:7" ht="12.75">
      <c r="G521" s="30"/>
    </row>
    <row r="522" spans="7:7" ht="12.75">
      <c r="G522" s="30"/>
    </row>
    <row r="523" spans="7:7" ht="12.75">
      <c r="G523" s="30"/>
    </row>
    <row r="524" spans="7:7" ht="12.75">
      <c r="G524" s="30"/>
    </row>
    <row r="525" spans="7:7" ht="12.75">
      <c r="G525" s="30"/>
    </row>
    <row r="526" spans="7:7" ht="12.75">
      <c r="G526" s="30"/>
    </row>
    <row r="527" spans="7:7" ht="12.75">
      <c r="G527" s="30"/>
    </row>
    <row r="528" spans="7:7" ht="12.75">
      <c r="G528" s="30"/>
    </row>
    <row r="529" spans="7:7" ht="12.75">
      <c r="G529" s="30"/>
    </row>
    <row r="530" spans="7:7" ht="12.75">
      <c r="G530" s="30"/>
    </row>
    <row r="531" spans="7:7" ht="12.75">
      <c r="G531" s="30"/>
    </row>
    <row r="532" spans="7:7" ht="12.75">
      <c r="G532" s="30"/>
    </row>
    <row r="533" spans="7:7" ht="12.75">
      <c r="G533" s="30"/>
    </row>
    <row r="534" spans="7:7" ht="12.75">
      <c r="G534" s="30"/>
    </row>
    <row r="535" spans="7:7" ht="12.75">
      <c r="G535" s="30"/>
    </row>
    <row r="536" spans="7:7" ht="12.75">
      <c r="G536" s="30"/>
    </row>
    <row r="537" spans="7:7" ht="12.75">
      <c r="G537" s="30"/>
    </row>
    <row r="538" spans="7:7" ht="12.75">
      <c r="G538" s="30"/>
    </row>
    <row r="539" spans="7:7" ht="12.75">
      <c r="G539" s="30"/>
    </row>
    <row r="540" spans="7:7" ht="12.75">
      <c r="G540" s="30"/>
    </row>
    <row r="541" spans="7:7" ht="12.75">
      <c r="G541" s="30"/>
    </row>
    <row r="542" spans="7:7" ht="12.75">
      <c r="G542" s="30"/>
    </row>
    <row r="543" spans="7:7" ht="12.75">
      <c r="G543" s="30"/>
    </row>
    <row r="544" spans="7:7" ht="12.75">
      <c r="G544" s="30"/>
    </row>
    <row r="545" spans="7:7" ht="12.75">
      <c r="G545" s="30"/>
    </row>
    <row r="546" spans="7:7" ht="12.75">
      <c r="G546" s="30"/>
    </row>
    <row r="547" spans="7:7" ht="12.75">
      <c r="G547" s="30"/>
    </row>
    <row r="548" spans="7:7" ht="12.75">
      <c r="G548" s="30"/>
    </row>
    <row r="549" spans="7:7" ht="12.75">
      <c r="G549" s="30"/>
    </row>
    <row r="550" spans="7:7" ht="12.75">
      <c r="G550" s="30"/>
    </row>
    <row r="551" spans="7:7" ht="12.75">
      <c r="G551" s="30"/>
    </row>
    <row r="552" spans="7:7" ht="12.75">
      <c r="G552" s="30"/>
    </row>
    <row r="553" spans="7:7" ht="12.75">
      <c r="G553" s="30"/>
    </row>
    <row r="554" spans="7:7" ht="12.75">
      <c r="G554" s="30"/>
    </row>
    <row r="555" spans="7:7" ht="12.75">
      <c r="G555" s="30"/>
    </row>
    <row r="556" spans="7:7" ht="12.75">
      <c r="G556" s="30"/>
    </row>
    <row r="557" spans="7:7" ht="12.75">
      <c r="G557" s="30"/>
    </row>
    <row r="558" spans="7:7" ht="12.75">
      <c r="G558" s="30"/>
    </row>
    <row r="559" spans="7:7" ht="12.75">
      <c r="G559" s="30"/>
    </row>
    <row r="560" spans="7:7" ht="12.75">
      <c r="G560" s="30"/>
    </row>
    <row r="561" spans="7:7" ht="12.75">
      <c r="G561" s="30"/>
    </row>
    <row r="562" spans="7:7" ht="12.75">
      <c r="G562" s="30"/>
    </row>
    <row r="563" spans="7:7" ht="12.75">
      <c r="G563" s="30"/>
    </row>
    <row r="564" spans="7:7" ht="12.75">
      <c r="G564" s="30"/>
    </row>
    <row r="565" spans="7:7" ht="12.75">
      <c r="G565" s="30"/>
    </row>
    <row r="566" spans="7:7" ht="12.75">
      <c r="G566" s="30"/>
    </row>
    <row r="567" spans="7:7" ht="12.75">
      <c r="G567" s="30"/>
    </row>
    <row r="568" spans="7:7" ht="12.75">
      <c r="G568" s="30"/>
    </row>
    <row r="569" spans="7:7" ht="12.75">
      <c r="G569" s="30"/>
    </row>
    <row r="570" spans="7:7" ht="12.75">
      <c r="G570" s="30"/>
    </row>
    <row r="571" spans="7:7" ht="12.75">
      <c r="G571" s="30"/>
    </row>
    <row r="572" spans="7:7" ht="12.75">
      <c r="G572" s="30"/>
    </row>
    <row r="573" spans="7:7" ht="12.75">
      <c r="G573" s="30"/>
    </row>
    <row r="574" spans="7:7" ht="12.75">
      <c r="G574" s="30"/>
    </row>
    <row r="575" spans="7:7" ht="12.75">
      <c r="G575" s="30"/>
    </row>
    <row r="576" spans="7:7" ht="12.75">
      <c r="G576" s="30"/>
    </row>
    <row r="577" spans="7:7" ht="12.75">
      <c r="G577" s="30"/>
    </row>
    <row r="578" spans="7:7" ht="12.75">
      <c r="G578" s="30"/>
    </row>
    <row r="579" spans="7:7" ht="12.75">
      <c r="G579" s="30"/>
    </row>
    <row r="580" spans="7:7" ht="12.75">
      <c r="G580" s="30"/>
    </row>
    <row r="581" spans="7:7" ht="12.75">
      <c r="G581" s="30"/>
    </row>
    <row r="582" spans="7:7" ht="12.75">
      <c r="G582" s="30"/>
    </row>
    <row r="583" spans="7:7" ht="12.75">
      <c r="G583" s="30"/>
    </row>
    <row r="584" spans="7:7" ht="12.75">
      <c r="G584" s="30"/>
    </row>
    <row r="585" spans="7:7" ht="12.75">
      <c r="G585" s="30"/>
    </row>
    <row r="586" spans="7:7" ht="12.75">
      <c r="G586" s="30"/>
    </row>
    <row r="587" spans="7:7" ht="12.75">
      <c r="G587" s="30"/>
    </row>
    <row r="588" spans="7:7" ht="12.75">
      <c r="G588" s="30"/>
    </row>
    <row r="589" spans="7:7" ht="12.75">
      <c r="G589" s="30"/>
    </row>
    <row r="590" spans="7:7" ht="12.75">
      <c r="G590" s="30"/>
    </row>
    <row r="591" spans="7:7" ht="12.75">
      <c r="G591" s="30"/>
    </row>
    <row r="592" spans="7:7" ht="12.75">
      <c r="G592" s="30"/>
    </row>
    <row r="593" spans="7:7" ht="12.75">
      <c r="G593" s="30"/>
    </row>
    <row r="594" spans="7:7" ht="12.75">
      <c r="G594" s="30"/>
    </row>
    <row r="595" spans="7:7" ht="12.75">
      <c r="G595" s="30"/>
    </row>
    <row r="596" spans="7:7" ht="12.75">
      <c r="G596" s="30"/>
    </row>
    <row r="597" spans="7:7" ht="12.75">
      <c r="G597" s="30"/>
    </row>
    <row r="598" spans="7:7" ht="12.75">
      <c r="G598" s="30"/>
    </row>
    <row r="599" spans="7:7" ht="12.75">
      <c r="G599" s="30"/>
    </row>
    <row r="600" spans="7:7" ht="12.75">
      <c r="G600" s="30"/>
    </row>
    <row r="601" spans="7:7" ht="12.75">
      <c r="G601" s="30"/>
    </row>
    <row r="602" spans="7:7" ht="12.75">
      <c r="G602" s="30"/>
    </row>
    <row r="603" spans="7:7" ht="12.75">
      <c r="G603" s="30"/>
    </row>
    <row r="604" spans="7:7" ht="12.75">
      <c r="G604" s="30"/>
    </row>
    <row r="605" spans="7:7" ht="12.75">
      <c r="G605" s="30"/>
    </row>
    <row r="606" spans="7:7" ht="12.75">
      <c r="G606" s="30"/>
    </row>
    <row r="607" spans="7:7" ht="12.75">
      <c r="G607" s="30"/>
    </row>
    <row r="608" spans="7:7" ht="12.75">
      <c r="G608" s="30"/>
    </row>
    <row r="609" spans="7:7" ht="12.75">
      <c r="G609" s="30"/>
    </row>
    <row r="610" spans="7:7" ht="12.75">
      <c r="G610" s="30"/>
    </row>
    <row r="611" spans="7:7" ht="12.75">
      <c r="G611" s="30"/>
    </row>
    <row r="612" spans="7:7" ht="12.75">
      <c r="G612" s="30"/>
    </row>
    <row r="613" spans="7:7" ht="12.75">
      <c r="G613" s="30"/>
    </row>
    <row r="614" spans="7:7" ht="12.75">
      <c r="G614" s="30"/>
    </row>
    <row r="615" spans="7:7" ht="12.75">
      <c r="G615" s="30"/>
    </row>
    <row r="616" spans="7:7" ht="12.75">
      <c r="G616" s="30"/>
    </row>
    <row r="617" spans="7:7" ht="12.75">
      <c r="G617" s="30"/>
    </row>
    <row r="618" spans="7:7" ht="12.75">
      <c r="G618" s="30"/>
    </row>
    <row r="619" spans="7:7" ht="12.75">
      <c r="G619" s="30"/>
    </row>
    <row r="620" spans="7:7" ht="12.75">
      <c r="G620" s="30"/>
    </row>
    <row r="621" spans="7:7" ht="12.75">
      <c r="G621" s="30"/>
    </row>
    <row r="622" spans="7:7" ht="12.75">
      <c r="G622" s="30"/>
    </row>
    <row r="623" spans="7:7" ht="12.75">
      <c r="G623" s="30"/>
    </row>
    <row r="624" spans="7:7" ht="12.75">
      <c r="G624" s="30"/>
    </row>
    <row r="625" spans="7:7" ht="12.75">
      <c r="G625" s="30"/>
    </row>
    <row r="626" spans="7:7" ht="12.75">
      <c r="G626" s="30"/>
    </row>
    <row r="627" spans="7:7" ht="12.75">
      <c r="G627" s="30"/>
    </row>
    <row r="628" spans="7:7" ht="12.75">
      <c r="G628" s="30"/>
    </row>
    <row r="629" spans="7:7" ht="12.75">
      <c r="G629" s="30"/>
    </row>
    <row r="630" spans="7:7" ht="12.75">
      <c r="G630" s="30"/>
    </row>
    <row r="631" spans="7:7" ht="12.75">
      <c r="G631" s="30"/>
    </row>
    <row r="632" spans="7:7" ht="12.75">
      <c r="G632" s="30"/>
    </row>
    <row r="633" spans="7:7" ht="12.75">
      <c r="G633" s="30"/>
    </row>
    <row r="634" spans="7:7" ht="12.75">
      <c r="G634" s="30"/>
    </row>
    <row r="635" spans="7:7" ht="12.75">
      <c r="G635" s="30"/>
    </row>
    <row r="636" spans="7:7" ht="12.75">
      <c r="G636" s="30"/>
    </row>
    <row r="637" spans="7:7" ht="12.75">
      <c r="G637" s="30"/>
    </row>
    <row r="638" spans="7:7" ht="12.75">
      <c r="G638" s="30"/>
    </row>
    <row r="639" spans="7:7" ht="12.75">
      <c r="G639" s="30"/>
    </row>
    <row r="640" spans="7:7" ht="12.75">
      <c r="G640" s="30"/>
    </row>
    <row r="641" spans="7:7" ht="12.75">
      <c r="G641" s="30"/>
    </row>
    <row r="642" spans="7:7" ht="12.75">
      <c r="G642" s="30"/>
    </row>
    <row r="643" spans="7:7" ht="12.75">
      <c r="G643" s="30"/>
    </row>
    <row r="644" spans="7:7" ht="12.75">
      <c r="G644" s="30"/>
    </row>
    <row r="645" spans="7:7" ht="12.75">
      <c r="G645" s="30"/>
    </row>
    <row r="646" spans="7:7" ht="12.75">
      <c r="G646" s="30"/>
    </row>
    <row r="647" spans="7:7" ht="12.75">
      <c r="G647" s="30"/>
    </row>
    <row r="648" spans="7:7" ht="12.75">
      <c r="G648" s="30"/>
    </row>
    <row r="649" spans="7:7" ht="12.75">
      <c r="G649" s="30"/>
    </row>
    <row r="650" spans="7:7" ht="12.75">
      <c r="G650" s="30"/>
    </row>
    <row r="651" spans="7:7" ht="12.75">
      <c r="G651" s="30"/>
    </row>
    <row r="652" spans="7:7" ht="12.75">
      <c r="G652" s="30"/>
    </row>
    <row r="653" spans="7:7" ht="12.75">
      <c r="G653" s="30"/>
    </row>
    <row r="654" spans="7:7" ht="12.75">
      <c r="G654" s="30"/>
    </row>
    <row r="655" spans="7:7" ht="12.75">
      <c r="G655" s="30"/>
    </row>
    <row r="656" spans="7:7" ht="12.75">
      <c r="G656" s="30"/>
    </row>
    <row r="657" spans="7:7" ht="12.75">
      <c r="G657" s="30"/>
    </row>
    <row r="658" spans="7:7" ht="12.75">
      <c r="G658" s="30"/>
    </row>
    <row r="659" spans="7:7" ht="12.75">
      <c r="G659" s="30"/>
    </row>
    <row r="660" spans="7:7" ht="12.75">
      <c r="G660" s="30"/>
    </row>
    <row r="661" spans="7:7" ht="12.75">
      <c r="G661" s="30"/>
    </row>
    <row r="662" spans="7:7" ht="12.75">
      <c r="G662" s="30"/>
    </row>
    <row r="663" spans="7:7" ht="12.75">
      <c r="G663" s="30"/>
    </row>
    <row r="664" spans="7:7" ht="12.75">
      <c r="G664" s="30"/>
    </row>
    <row r="665" spans="7:7" ht="12.75">
      <c r="G665" s="30"/>
    </row>
    <row r="666" spans="7:7" ht="12.75">
      <c r="G666" s="30"/>
    </row>
    <row r="667" spans="7:7" ht="12.75">
      <c r="G667" s="30"/>
    </row>
    <row r="668" spans="7:7" ht="12.75">
      <c r="G668" s="30"/>
    </row>
    <row r="669" spans="7:7" ht="12.75">
      <c r="G669" s="30"/>
    </row>
    <row r="670" spans="7:7" ht="12.75">
      <c r="G670" s="30"/>
    </row>
    <row r="671" spans="7:7" ht="12.75">
      <c r="G671" s="30"/>
    </row>
    <row r="672" spans="7:7" ht="12.75">
      <c r="G672" s="30"/>
    </row>
    <row r="673" spans="7:7" ht="12.75">
      <c r="G673" s="30"/>
    </row>
    <row r="674" spans="7:7" ht="12.75">
      <c r="G674" s="30"/>
    </row>
    <row r="675" spans="7:7" ht="12.75">
      <c r="G675" s="30"/>
    </row>
    <row r="676" spans="7:7" ht="12.75">
      <c r="G676" s="30"/>
    </row>
    <row r="677" spans="7:7" ht="12.75">
      <c r="G677" s="30"/>
    </row>
    <row r="678" spans="7:7" ht="12.75">
      <c r="G678" s="30"/>
    </row>
    <row r="679" spans="7:7" ht="12.75">
      <c r="G679" s="30"/>
    </row>
    <row r="680" spans="7:7" ht="12.75">
      <c r="G680" s="30"/>
    </row>
    <row r="681" spans="7:7" ht="12.75">
      <c r="G681" s="30"/>
    </row>
    <row r="682" spans="7:7" ht="12.75">
      <c r="G682" s="30"/>
    </row>
    <row r="683" spans="7:7" ht="12.75">
      <c r="G683" s="30"/>
    </row>
    <row r="684" spans="7:7" ht="12.75">
      <c r="G684" s="30"/>
    </row>
    <row r="685" spans="7:7" ht="12.75">
      <c r="G685" s="30"/>
    </row>
    <row r="686" spans="7:7" ht="12.75">
      <c r="G686" s="30"/>
    </row>
    <row r="687" spans="7:7" ht="12.75">
      <c r="G687" s="30"/>
    </row>
    <row r="688" spans="7:7" ht="12.75">
      <c r="G688" s="30"/>
    </row>
    <row r="689" spans="7:7" ht="12.75">
      <c r="G689" s="30"/>
    </row>
    <row r="690" spans="7:7" ht="12.75">
      <c r="G690" s="30"/>
    </row>
    <row r="691" spans="7:7" ht="12.75">
      <c r="G691" s="30"/>
    </row>
    <row r="692" spans="7:7" ht="12.75">
      <c r="G692" s="30"/>
    </row>
    <row r="693" spans="7:7" ht="12.75">
      <c r="G693" s="30"/>
    </row>
    <row r="694" spans="7:7" ht="12.75">
      <c r="G694" s="30"/>
    </row>
    <row r="695" spans="7:7" ht="12.75">
      <c r="G695" s="30"/>
    </row>
    <row r="696" spans="7:7" ht="12.75">
      <c r="G696" s="30"/>
    </row>
    <row r="697" spans="7:7" ht="12.75">
      <c r="G697" s="30"/>
    </row>
    <row r="698" spans="7:7" ht="12.75">
      <c r="G698" s="30"/>
    </row>
    <row r="699" spans="7:7" ht="12.75">
      <c r="G699" s="30"/>
    </row>
    <row r="700" spans="7:7" ht="12.75">
      <c r="G700" s="30"/>
    </row>
    <row r="701" spans="7:7" ht="12.75">
      <c r="G701" s="30"/>
    </row>
    <row r="702" spans="7:7" ht="12.75">
      <c r="G702" s="30"/>
    </row>
    <row r="703" spans="7:7" ht="12.75">
      <c r="G703" s="30"/>
    </row>
    <row r="704" spans="7:7" ht="12.75">
      <c r="G704" s="30"/>
    </row>
    <row r="705" spans="7:7" ht="12.75">
      <c r="G705" s="30"/>
    </row>
    <row r="706" spans="7:7" ht="12.75">
      <c r="G706" s="30"/>
    </row>
    <row r="707" spans="7:7" ht="12.75">
      <c r="G707" s="30"/>
    </row>
    <row r="708" spans="7:7" ht="12.75">
      <c r="G708" s="30"/>
    </row>
    <row r="709" spans="7:7" ht="12.75">
      <c r="G709" s="30"/>
    </row>
    <row r="710" spans="7:7" ht="12.75">
      <c r="G710" s="30"/>
    </row>
    <row r="711" spans="7:7" ht="12.75">
      <c r="G711" s="30"/>
    </row>
    <row r="712" spans="7:7" ht="12.75">
      <c r="G712" s="30"/>
    </row>
    <row r="713" spans="7:7" ht="12.75">
      <c r="G713" s="30"/>
    </row>
    <row r="714" spans="7:7" ht="12.75">
      <c r="G714" s="30"/>
    </row>
    <row r="715" spans="7:7" ht="12.75">
      <c r="G715" s="30"/>
    </row>
    <row r="716" spans="7:7" ht="12.75">
      <c r="G716" s="30"/>
    </row>
    <row r="717" spans="7:7" ht="12.75">
      <c r="G717" s="30"/>
    </row>
    <row r="718" spans="7:7" ht="12.75">
      <c r="G718" s="30"/>
    </row>
    <row r="719" spans="7:7" ht="12.75">
      <c r="G719" s="30"/>
    </row>
    <row r="720" spans="7:7" ht="12.75">
      <c r="G720" s="30"/>
    </row>
    <row r="721" spans="7:7" ht="12.75">
      <c r="G721" s="30"/>
    </row>
    <row r="722" spans="7:7" ht="12.75">
      <c r="G722" s="30"/>
    </row>
    <row r="723" spans="7:7" ht="12.75">
      <c r="G723" s="30"/>
    </row>
    <row r="724" spans="7:7" ht="12.75">
      <c r="G724" s="30"/>
    </row>
    <row r="725" spans="7:7" ht="12.75">
      <c r="G725" s="30"/>
    </row>
    <row r="726" spans="7:7" ht="12.75">
      <c r="G726" s="30"/>
    </row>
    <row r="727" spans="7:7" ht="12.75">
      <c r="G727" s="30"/>
    </row>
    <row r="728" spans="7:7" ht="12.75">
      <c r="G728" s="30"/>
    </row>
    <row r="729" spans="7:7" ht="12.75">
      <c r="G729" s="30"/>
    </row>
    <row r="730" spans="7:7" ht="12.75">
      <c r="G730" s="30"/>
    </row>
    <row r="731" spans="7:7" ht="12.75">
      <c r="G731" s="30"/>
    </row>
    <row r="732" spans="7:7" ht="12.75">
      <c r="G732" s="30"/>
    </row>
    <row r="733" spans="7:7" ht="12.75">
      <c r="G733" s="30"/>
    </row>
    <row r="734" spans="7:7" ht="12.75">
      <c r="G734" s="30"/>
    </row>
    <row r="735" spans="7:7" ht="12.75">
      <c r="G735" s="30"/>
    </row>
    <row r="736" spans="7:7" ht="12.75">
      <c r="G736" s="30"/>
    </row>
    <row r="737" spans="7:7" ht="12.75">
      <c r="G737" s="30"/>
    </row>
    <row r="738" spans="7:7" ht="12.75">
      <c r="G738" s="30"/>
    </row>
    <row r="739" spans="7:7" ht="12.75">
      <c r="G739" s="30"/>
    </row>
    <row r="740" spans="7:7" ht="12.75">
      <c r="G740" s="30"/>
    </row>
    <row r="741" spans="7:7" ht="12.75">
      <c r="G741" s="30"/>
    </row>
    <row r="742" spans="7:7" ht="12.75">
      <c r="G742" s="30"/>
    </row>
    <row r="743" spans="7:7" ht="12.75">
      <c r="G743" s="30"/>
    </row>
    <row r="744" spans="7:7" ht="12.75">
      <c r="G744" s="30"/>
    </row>
    <row r="745" spans="7:7" ht="12.75">
      <c r="G745" s="30"/>
    </row>
    <row r="746" spans="7:7" ht="12.75">
      <c r="G746" s="30"/>
    </row>
    <row r="747" spans="7:7" ht="12.75">
      <c r="G747" s="30"/>
    </row>
    <row r="748" spans="7:7" ht="12.75">
      <c r="G748" s="30"/>
    </row>
    <row r="749" spans="7:7" ht="12.75">
      <c r="G749" s="30"/>
    </row>
    <row r="750" spans="7:7" ht="12.75">
      <c r="G750" s="30"/>
    </row>
    <row r="751" spans="7:7" ht="12.75">
      <c r="G751" s="30"/>
    </row>
    <row r="752" spans="7:7" ht="12.75">
      <c r="G752" s="30"/>
    </row>
    <row r="753" spans="7:7" ht="12.75">
      <c r="G753" s="30"/>
    </row>
    <row r="754" spans="7:7" ht="12.75">
      <c r="G754" s="30"/>
    </row>
    <row r="755" spans="7:7" ht="12.75">
      <c r="G755" s="30"/>
    </row>
    <row r="756" spans="7:7" ht="12.75">
      <c r="G756" s="30"/>
    </row>
    <row r="757" spans="7:7" ht="12.75">
      <c r="G757" s="30"/>
    </row>
    <row r="758" spans="7:7" ht="12.75">
      <c r="G758" s="30"/>
    </row>
    <row r="759" spans="7:7" ht="12.75">
      <c r="G759" s="30"/>
    </row>
    <row r="760" spans="7:7" ht="12.75">
      <c r="G760" s="30"/>
    </row>
    <row r="761" spans="7:7" ht="12.75">
      <c r="G761" s="30"/>
    </row>
    <row r="762" spans="7:7" ht="12.75">
      <c r="G762" s="30"/>
    </row>
    <row r="763" spans="7:7" ht="12.75">
      <c r="G763" s="30"/>
    </row>
    <row r="764" spans="7:7" ht="12.75">
      <c r="G764" s="30"/>
    </row>
    <row r="765" spans="7:7" ht="12.75">
      <c r="G765" s="30"/>
    </row>
    <row r="766" spans="7:7" ht="12.75">
      <c r="G766" s="30"/>
    </row>
    <row r="767" spans="7:7" ht="12.75">
      <c r="G767" s="30"/>
    </row>
    <row r="768" spans="7:7" ht="12.75">
      <c r="G768" s="30"/>
    </row>
    <row r="769" spans="7:7" ht="12.75">
      <c r="G769" s="30"/>
    </row>
    <row r="770" spans="7:7" ht="12.75">
      <c r="G770" s="30"/>
    </row>
    <row r="771" spans="7:7" ht="12.75">
      <c r="G771" s="30"/>
    </row>
    <row r="772" spans="7:7" ht="12.75">
      <c r="G772" s="30"/>
    </row>
    <row r="773" spans="7:7" ht="12.75">
      <c r="G773" s="30"/>
    </row>
    <row r="774" spans="7:7" ht="12.75">
      <c r="G774" s="30"/>
    </row>
    <row r="775" spans="7:7" ht="12.75">
      <c r="G775" s="30"/>
    </row>
    <row r="776" spans="7:7" ht="12.75">
      <c r="G776" s="30"/>
    </row>
    <row r="777" spans="7:7" ht="12.75">
      <c r="G777" s="30"/>
    </row>
    <row r="778" spans="7:7" ht="12.75">
      <c r="G778" s="30"/>
    </row>
    <row r="779" spans="7:7" ht="12.75">
      <c r="G779" s="30"/>
    </row>
    <row r="780" spans="7:7" ht="12.75">
      <c r="G780" s="30"/>
    </row>
    <row r="781" spans="7:7" ht="12.75">
      <c r="G781" s="30"/>
    </row>
    <row r="782" spans="7:7" ht="12.75">
      <c r="G782" s="30"/>
    </row>
    <row r="783" spans="7:7" ht="12.75">
      <c r="G783" s="30"/>
    </row>
    <row r="784" spans="7:7" ht="12.75">
      <c r="G784" s="30"/>
    </row>
    <row r="785" spans="7:7" ht="12.75">
      <c r="G785" s="30"/>
    </row>
    <row r="786" spans="7:7" ht="12.75">
      <c r="G786" s="30"/>
    </row>
    <row r="787" spans="7:7" ht="12.75">
      <c r="G787" s="30"/>
    </row>
    <row r="788" spans="7:7" ht="12.75">
      <c r="G788" s="30"/>
    </row>
    <row r="789" spans="7:7" ht="12.75">
      <c r="G789" s="30"/>
    </row>
    <row r="790" spans="7:7" ht="12.75">
      <c r="G790" s="30"/>
    </row>
    <row r="791" spans="7:7" ht="12.75">
      <c r="G791" s="30"/>
    </row>
    <row r="792" spans="7:7" ht="12.75">
      <c r="G792" s="30"/>
    </row>
    <row r="793" spans="7:7" ht="12.75">
      <c r="G793" s="30"/>
    </row>
    <row r="794" spans="7:7" ht="12.75">
      <c r="G794" s="30"/>
    </row>
    <row r="795" spans="7:7" ht="12.75">
      <c r="G795" s="30"/>
    </row>
    <row r="796" spans="7:7" ht="12.75">
      <c r="G796" s="30"/>
    </row>
    <row r="797" spans="7:7" ht="12.75">
      <c r="G797" s="30"/>
    </row>
    <row r="798" spans="7:7" ht="12.75">
      <c r="G798" s="30"/>
    </row>
    <row r="799" spans="7:7" ht="12.75">
      <c r="G799" s="30"/>
    </row>
    <row r="800" spans="7:7" ht="12.75">
      <c r="G800" s="30"/>
    </row>
    <row r="801" spans="7:7" ht="12.75">
      <c r="G801" s="30"/>
    </row>
    <row r="802" spans="7:7" ht="12.75">
      <c r="G802" s="30"/>
    </row>
    <row r="803" spans="7:7" ht="12.75">
      <c r="G803" s="30"/>
    </row>
    <row r="804" spans="7:7" ht="12.75">
      <c r="G804" s="30"/>
    </row>
    <row r="805" spans="7:7" ht="12.75">
      <c r="G805" s="30"/>
    </row>
    <row r="806" spans="7:7" ht="12.75">
      <c r="G806" s="30"/>
    </row>
    <row r="807" spans="7:7" ht="12.75">
      <c r="G807" s="30"/>
    </row>
    <row r="808" spans="7:7" ht="12.75">
      <c r="G808" s="30"/>
    </row>
    <row r="809" spans="7:7" ht="12.75">
      <c r="G809" s="30"/>
    </row>
    <row r="810" spans="7:7" ht="12.75">
      <c r="G810" s="30"/>
    </row>
    <row r="811" spans="7:7" ht="12.75">
      <c r="G811" s="30"/>
    </row>
    <row r="812" spans="7:7" ht="12.75">
      <c r="G812" s="30"/>
    </row>
    <row r="813" spans="7:7" ht="12.75">
      <c r="G813" s="30"/>
    </row>
    <row r="814" spans="7:7" ht="12.75">
      <c r="G814" s="30"/>
    </row>
    <row r="815" spans="7:7" ht="12.75">
      <c r="G815" s="30"/>
    </row>
    <row r="816" spans="7:7" ht="12.75">
      <c r="G816" s="30"/>
    </row>
    <row r="817" spans="7:7" ht="12.75">
      <c r="G817" s="30"/>
    </row>
    <row r="818" spans="7:7" ht="12.75">
      <c r="G818" s="30"/>
    </row>
    <row r="819" spans="7:7" ht="12.75">
      <c r="G819" s="30"/>
    </row>
    <row r="820" spans="7:7" ht="12.75">
      <c r="G820" s="30"/>
    </row>
    <row r="821" spans="7:7" ht="12.75">
      <c r="G821" s="30"/>
    </row>
    <row r="822" spans="7:7" ht="12.75">
      <c r="G822" s="30"/>
    </row>
    <row r="823" spans="7:7" ht="12.75">
      <c r="G823" s="30"/>
    </row>
    <row r="824" spans="7:7" ht="12.75">
      <c r="G824" s="30"/>
    </row>
    <row r="825" spans="7:7" ht="12.75">
      <c r="G825" s="30"/>
    </row>
    <row r="826" spans="7:7" ht="12.75">
      <c r="G826" s="30"/>
    </row>
    <row r="827" spans="7:7" ht="12.75">
      <c r="G827" s="30"/>
    </row>
    <row r="828" spans="7:7" ht="12.75">
      <c r="G828" s="30"/>
    </row>
    <row r="829" spans="7:7" ht="12.75">
      <c r="G829" s="30"/>
    </row>
    <row r="830" spans="7:7" ht="12.75">
      <c r="G830" s="30"/>
    </row>
    <row r="831" spans="7:7" ht="12.75">
      <c r="G831" s="30"/>
    </row>
    <row r="832" spans="7:7" ht="12.75">
      <c r="G832" s="30"/>
    </row>
    <row r="833" spans="7:7" ht="12.75">
      <c r="G833" s="30"/>
    </row>
    <row r="834" spans="7:7" ht="12.75">
      <c r="G834" s="30"/>
    </row>
    <row r="835" spans="7:7" ht="12.75">
      <c r="G835" s="30"/>
    </row>
    <row r="836" spans="7:7" ht="12.75">
      <c r="G836" s="30"/>
    </row>
    <row r="837" spans="7:7" ht="12.75">
      <c r="G837" s="30"/>
    </row>
    <row r="838" spans="7:7" ht="12.75">
      <c r="G838" s="30"/>
    </row>
    <row r="839" spans="7:7" ht="12.75">
      <c r="G839" s="30"/>
    </row>
    <row r="840" spans="7:7" ht="12.75">
      <c r="G840" s="30"/>
    </row>
    <row r="841" spans="7:7" ht="12.75">
      <c r="G841" s="30"/>
    </row>
    <row r="842" spans="7:7" ht="12.75">
      <c r="G842" s="30"/>
    </row>
    <row r="843" spans="7:7" ht="12.75">
      <c r="G843" s="30"/>
    </row>
    <row r="844" spans="7:7" ht="12.75">
      <c r="G844" s="30"/>
    </row>
    <row r="845" spans="7:7" ht="12.75">
      <c r="G845" s="30"/>
    </row>
    <row r="846" spans="7:7" ht="12.75">
      <c r="G846" s="30"/>
    </row>
    <row r="847" spans="7:7" ht="12.75">
      <c r="G847" s="30"/>
    </row>
    <row r="848" spans="7:7" ht="12.75">
      <c r="G848" s="30"/>
    </row>
    <row r="849" spans="7:7" ht="12.75">
      <c r="G849" s="30"/>
    </row>
    <row r="850" spans="7:7" ht="12.75">
      <c r="G850" s="30"/>
    </row>
    <row r="851" spans="7:7" ht="12.75">
      <c r="G851" s="30"/>
    </row>
    <row r="852" spans="7:7" ht="12.75">
      <c r="G852" s="30"/>
    </row>
    <row r="853" spans="7:7" ht="12.75">
      <c r="G853" s="30"/>
    </row>
    <row r="854" spans="7:7" ht="12.75">
      <c r="G854" s="30"/>
    </row>
    <row r="855" spans="7:7" ht="12.75">
      <c r="G855" s="30"/>
    </row>
    <row r="856" spans="7:7" ht="12.75">
      <c r="G856" s="30"/>
    </row>
    <row r="857" spans="7:7" ht="12.75">
      <c r="G857" s="30"/>
    </row>
    <row r="858" spans="7:7" ht="12.75">
      <c r="G858" s="30"/>
    </row>
    <row r="859" spans="7:7" ht="12.75">
      <c r="G859" s="30"/>
    </row>
    <row r="860" spans="7:7" ht="12.75">
      <c r="G860" s="30"/>
    </row>
    <row r="861" spans="7:7" ht="12.75">
      <c r="G861" s="30"/>
    </row>
    <row r="862" spans="7:7" ht="12.75">
      <c r="G862" s="30"/>
    </row>
    <row r="863" spans="7:7" ht="12.75">
      <c r="G863" s="30"/>
    </row>
    <row r="864" spans="7:7" ht="12.75">
      <c r="G864" s="30"/>
    </row>
    <row r="865" spans="7:7" ht="12.75">
      <c r="G865" s="30"/>
    </row>
    <row r="866" spans="7:7" ht="12.75">
      <c r="G866" s="30"/>
    </row>
    <row r="867" spans="7:7" ht="12.75">
      <c r="G867" s="30"/>
    </row>
    <row r="868" spans="7:7" ht="12.75">
      <c r="G868" s="30"/>
    </row>
    <row r="869" spans="7:7" ht="12.75">
      <c r="G869" s="30"/>
    </row>
    <row r="870" spans="7:7" ht="12.75">
      <c r="G870" s="30"/>
    </row>
    <row r="871" spans="7:7" ht="12.75">
      <c r="G871" s="30"/>
    </row>
    <row r="872" spans="7:7" ht="12.75">
      <c r="G872" s="30"/>
    </row>
    <row r="873" spans="7:7" ht="12.75">
      <c r="G873" s="30"/>
    </row>
    <row r="874" spans="7:7" ht="12.75">
      <c r="G874" s="30"/>
    </row>
    <row r="875" spans="7:7" ht="12.75">
      <c r="G875" s="30"/>
    </row>
    <row r="876" spans="7:7" ht="12.75">
      <c r="G876" s="30"/>
    </row>
    <row r="877" spans="7:7" ht="12.75">
      <c r="G877" s="30"/>
    </row>
    <row r="878" spans="7:7" ht="12.75">
      <c r="G878" s="30"/>
    </row>
    <row r="879" spans="7:7" ht="12.75">
      <c r="G879" s="30"/>
    </row>
    <row r="880" spans="7:7" ht="12.75">
      <c r="G880" s="30"/>
    </row>
    <row r="881" spans="7:7" ht="12.75">
      <c r="G881" s="30"/>
    </row>
    <row r="882" spans="7:7" ht="12.75">
      <c r="G882" s="30"/>
    </row>
    <row r="883" spans="7:7" ht="12.75">
      <c r="G883" s="30"/>
    </row>
    <row r="884" spans="7:7" ht="12.75">
      <c r="G884" s="30"/>
    </row>
    <row r="885" spans="7:7" ht="12.75">
      <c r="G885" s="30"/>
    </row>
    <row r="886" spans="7:7" ht="12.75">
      <c r="G886" s="30"/>
    </row>
    <row r="887" spans="7:7" ht="12.75">
      <c r="G887" s="30"/>
    </row>
    <row r="888" spans="7:7" ht="12.75">
      <c r="G888" s="30"/>
    </row>
    <row r="889" spans="7:7" ht="12.75">
      <c r="G889" s="30"/>
    </row>
    <row r="890" spans="7:7" ht="12.75">
      <c r="G890" s="30"/>
    </row>
    <row r="891" spans="7:7" ht="12.75">
      <c r="G891" s="30"/>
    </row>
    <row r="892" spans="7:7" ht="12.75">
      <c r="G892" s="30"/>
    </row>
    <row r="893" spans="7:7" ht="12.75">
      <c r="G893" s="30"/>
    </row>
    <row r="894" spans="7:7" ht="12.75">
      <c r="G894" s="30"/>
    </row>
    <row r="895" spans="7:7" ht="12.75">
      <c r="G895" s="30"/>
    </row>
    <row r="896" spans="7:7" ht="12.75">
      <c r="G896" s="30"/>
    </row>
    <row r="897" spans="7:7" ht="12.75">
      <c r="G897" s="30"/>
    </row>
    <row r="898" spans="7:7" ht="12.75">
      <c r="G898" s="30"/>
    </row>
    <row r="899" spans="7:7" ht="12.75">
      <c r="G899" s="30"/>
    </row>
    <row r="900" spans="7:7" ht="12.75">
      <c r="G900" s="30"/>
    </row>
    <row r="901" spans="7:7" ht="12.75">
      <c r="G901" s="30"/>
    </row>
    <row r="902" spans="7:7" ht="12.75">
      <c r="G902" s="30"/>
    </row>
    <row r="903" spans="7:7" ht="12.75">
      <c r="G903" s="30"/>
    </row>
    <row r="904" spans="7:7" ht="12.75">
      <c r="G904" s="30"/>
    </row>
    <row r="905" spans="7:7" ht="12.75">
      <c r="G905" s="30"/>
    </row>
    <row r="906" spans="7:7" ht="12.75">
      <c r="G906" s="30"/>
    </row>
    <row r="907" spans="7:7" ht="12.75">
      <c r="G907" s="30"/>
    </row>
    <row r="908" spans="7:7" ht="12.75">
      <c r="G908" s="30"/>
    </row>
    <row r="909" spans="7:7" ht="12.75">
      <c r="G909" s="30"/>
    </row>
    <row r="910" spans="7:7" ht="12.75">
      <c r="G910" s="30"/>
    </row>
    <row r="911" spans="7:7" ht="12.75">
      <c r="G911" s="30"/>
    </row>
    <row r="912" spans="7:7" ht="12.75">
      <c r="G912" s="30"/>
    </row>
    <row r="913" spans="7:7" ht="12.75">
      <c r="G913" s="30"/>
    </row>
    <row r="914" spans="7:7" ht="12.75">
      <c r="G914" s="30"/>
    </row>
    <row r="915" spans="7:7" ht="12.75">
      <c r="G915" s="30"/>
    </row>
    <row r="916" spans="7:7" ht="12.75">
      <c r="G916" s="30"/>
    </row>
    <row r="917" spans="7:7" ht="12.75">
      <c r="G917" s="30"/>
    </row>
    <row r="918" spans="7:7" ht="12.75">
      <c r="G918" s="30"/>
    </row>
    <row r="919" spans="7:7" ht="12.75">
      <c r="G919" s="30"/>
    </row>
    <row r="920" spans="7:7" ht="12.75">
      <c r="G920" s="30"/>
    </row>
    <row r="921" spans="7:7" ht="12.75">
      <c r="G921" s="30"/>
    </row>
    <row r="922" spans="7:7" ht="12.75">
      <c r="G922" s="30"/>
    </row>
    <row r="923" spans="7:7" ht="12.75">
      <c r="G923" s="30"/>
    </row>
    <row r="924" spans="7:7" ht="12.75">
      <c r="G924" s="30"/>
    </row>
    <row r="925" spans="7:7" ht="12.75">
      <c r="G925" s="30"/>
    </row>
    <row r="926" spans="7:7" ht="12.75">
      <c r="G926" s="30"/>
    </row>
    <row r="927" spans="7:7" ht="12.75">
      <c r="G927" s="30"/>
    </row>
    <row r="928" spans="7:7" ht="12.75">
      <c r="G928" s="30"/>
    </row>
    <row r="929" spans="7:7" ht="12.75">
      <c r="G929" s="30"/>
    </row>
    <row r="930" spans="7:7" ht="12.75">
      <c r="G930" s="30"/>
    </row>
    <row r="931" spans="7:7" ht="12.75">
      <c r="G931" s="30"/>
    </row>
    <row r="932" spans="7:7" ht="12.75">
      <c r="G932" s="30"/>
    </row>
    <row r="933" spans="7:7" ht="12.75">
      <c r="G933" s="30"/>
    </row>
    <row r="934" spans="7:7" ht="12.75">
      <c r="G934" s="30"/>
    </row>
    <row r="935" spans="7:7" ht="12.75">
      <c r="G935" s="30"/>
    </row>
    <row r="936" spans="7:7" ht="12.75">
      <c r="G936" s="30"/>
    </row>
    <row r="937" spans="7:7" ht="12.75">
      <c r="G937" s="30"/>
    </row>
    <row r="938" spans="7:7" ht="12.75">
      <c r="G938" s="30"/>
    </row>
    <row r="939" spans="7:7" ht="12.75">
      <c r="G939" s="30"/>
    </row>
    <row r="940" spans="7:7" ht="12.75">
      <c r="G940" s="30"/>
    </row>
    <row r="941" spans="7:7" ht="12.75">
      <c r="G941" s="30"/>
    </row>
    <row r="942" spans="7:7" ht="12.75">
      <c r="G942" s="30"/>
    </row>
    <row r="943" spans="7:7" ht="12.75">
      <c r="G943" s="30"/>
    </row>
    <row r="944" spans="7:7" ht="12.75">
      <c r="G944" s="30"/>
    </row>
    <row r="945" spans="7:7" ht="12.75">
      <c r="G945" s="30"/>
    </row>
    <row r="946" spans="7:7" ht="12.75">
      <c r="G946" s="30"/>
    </row>
    <row r="947" spans="7:7" ht="12.75">
      <c r="G947" s="30"/>
    </row>
    <row r="948" spans="7:7" ht="12.75">
      <c r="G948" s="30"/>
    </row>
    <row r="949" spans="7:7" ht="12.75">
      <c r="G949" s="30"/>
    </row>
    <row r="950" spans="7:7" ht="12.75">
      <c r="G950" s="30"/>
    </row>
    <row r="951" spans="7:7" ht="12.75">
      <c r="G951" s="30"/>
    </row>
    <row r="952" spans="7:7" ht="12.75">
      <c r="G952" s="30"/>
    </row>
    <row r="953" spans="7:7" ht="12.75">
      <c r="G953" s="30"/>
    </row>
    <row r="954" spans="7:7" ht="12.75">
      <c r="G954" s="30"/>
    </row>
    <row r="955" spans="7:7" ht="12.75">
      <c r="G955" s="30"/>
    </row>
    <row r="956" spans="7:7" ht="12.75">
      <c r="G956" s="30"/>
    </row>
    <row r="957" spans="7:7" ht="12.75">
      <c r="G957" s="30"/>
    </row>
    <row r="958" spans="7:7" ht="12.75">
      <c r="G958" s="30"/>
    </row>
    <row r="959" spans="7:7" ht="12.75">
      <c r="G959" s="30"/>
    </row>
    <row r="960" spans="7:7" ht="12.75">
      <c r="G960" s="30"/>
    </row>
    <row r="961" spans="7:7" ht="12.75">
      <c r="G961" s="30"/>
    </row>
    <row r="962" spans="7:7" ht="12.75">
      <c r="G962" s="30"/>
    </row>
    <row r="963" spans="7:7" ht="12.75">
      <c r="G963" s="30"/>
    </row>
    <row r="964" spans="7:7" ht="12.75">
      <c r="G964" s="30"/>
    </row>
    <row r="965" spans="7:7" ht="12.75">
      <c r="G965" s="30"/>
    </row>
    <row r="966" spans="7:7" ht="12.75">
      <c r="G966" s="30"/>
    </row>
    <row r="967" spans="7:7" ht="12.75">
      <c r="G967" s="30"/>
    </row>
    <row r="968" spans="7:7" ht="12.75">
      <c r="G968" s="30"/>
    </row>
    <row r="969" spans="7:7" ht="12.75">
      <c r="G969" s="30"/>
    </row>
    <row r="970" spans="7:7" ht="12.75">
      <c r="G970" s="30"/>
    </row>
    <row r="971" spans="7:7" ht="12.75">
      <c r="G971" s="30"/>
    </row>
    <row r="972" spans="7:7" ht="12.75">
      <c r="G972" s="30"/>
    </row>
    <row r="973" spans="7:7" ht="12.75">
      <c r="G973" s="30"/>
    </row>
    <row r="974" spans="7:7" ht="12.75">
      <c r="G974" s="30"/>
    </row>
    <row r="975" spans="7:7" ht="12.75">
      <c r="G975" s="30"/>
    </row>
    <row r="976" spans="7:7" ht="12.75">
      <c r="G976" s="30"/>
    </row>
    <row r="977" spans="7:7" ht="12.75">
      <c r="G977" s="30"/>
    </row>
    <row r="978" spans="7:7" ht="12.75">
      <c r="G978" s="30"/>
    </row>
    <row r="979" spans="7:7" ht="12.75">
      <c r="G979" s="30"/>
    </row>
    <row r="980" spans="7:7" ht="12.75">
      <c r="G980" s="30"/>
    </row>
    <row r="981" spans="7:7" ht="12.75">
      <c r="G981" s="30"/>
    </row>
    <row r="982" spans="7:7" ht="12.75">
      <c r="G982" s="30"/>
    </row>
    <row r="983" spans="7:7" ht="12.75">
      <c r="G983" s="30"/>
    </row>
    <row r="984" spans="7:7" ht="12.75">
      <c r="G984" s="30"/>
    </row>
    <row r="985" spans="7:7" ht="12.75">
      <c r="G985" s="30"/>
    </row>
    <row r="986" spans="7:7" ht="12.75">
      <c r="G986" s="30"/>
    </row>
    <row r="987" spans="7:7" ht="12.75">
      <c r="G987" s="30"/>
    </row>
    <row r="988" spans="7:7" ht="12.75">
      <c r="G988" s="30"/>
    </row>
    <row r="989" spans="7:7" ht="12.75">
      <c r="G989" s="30"/>
    </row>
    <row r="990" spans="7:7" ht="12.75">
      <c r="G990" s="30"/>
    </row>
    <row r="991" spans="7:7" ht="12.75">
      <c r="G991" s="30"/>
    </row>
    <row r="992" spans="7:7" ht="12.75">
      <c r="G992" s="30"/>
    </row>
    <row r="993" spans="7:7" ht="12.75">
      <c r="G993" s="30"/>
    </row>
    <row r="994" spans="7:7" ht="12.75">
      <c r="G994" s="30"/>
    </row>
    <row r="995" spans="7:7" ht="12.75">
      <c r="G995" s="30"/>
    </row>
    <row r="996" spans="7:7" ht="12.75">
      <c r="G996" s="30"/>
    </row>
    <row r="997" spans="7:7" ht="12.75">
      <c r="G997" s="30"/>
    </row>
    <row r="998" spans="7:7" ht="12.75">
      <c r="G998" s="30"/>
    </row>
    <row r="999" spans="7:7" ht="12.75">
      <c r="G999" s="30"/>
    </row>
    <row r="1000" spans="7:7" ht="12.75">
      <c r="G1000" s="30"/>
    </row>
  </sheetData>
  <mergeCells count="9">
    <mergeCell ref="R21:T21"/>
    <mergeCell ref="R24:S24"/>
    <mergeCell ref="T13:W13"/>
    <mergeCell ref="T14:W14"/>
    <mergeCell ref="R18:S18"/>
    <mergeCell ref="R19:S19"/>
    <mergeCell ref="R20:T20"/>
    <mergeCell ref="R22:V22"/>
    <mergeCell ref="R23:AA2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Polski v2</vt:lpstr>
      <vt:lpstr>Torby z Łupami</vt:lpstr>
      <vt:lpstr>Mikstury i Bomby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Patryk Rzegocki</cp:lastModifiedBy>
  <dcterms:created xsi:type="dcterms:W3CDTF">2026-07-03T22:30:08Z</dcterms:created>
  <dcterms:modified xsi:type="dcterms:W3CDTF">2026-07-03T22:30:08Z</dcterms:modified>
</cp:coreProperties>
</file>