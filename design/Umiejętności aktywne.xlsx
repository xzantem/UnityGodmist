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czku\Documents\Godmist\design\"/>
    </mc:Choice>
  </mc:AlternateContent>
  <xr:revisionPtr revIDLastSave="0" documentId="13_ncr:1_{1CEC749E-B6F7-4B81-A574-CEC6728CF83A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Current" sheetId="1" r:id="rId1"/>
    <sheet name="Arkusz3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5" l="1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W12" i="5"/>
  <c r="V12" i="5"/>
  <c r="U12" i="5"/>
  <c r="T12" i="5"/>
  <c r="S12" i="5"/>
  <c r="R12" i="5"/>
  <c r="Q12" i="5"/>
  <c r="P12" i="5"/>
  <c r="O12" i="5"/>
  <c r="N12" i="5"/>
  <c r="L12" i="5"/>
  <c r="K12" i="5"/>
  <c r="J12" i="5"/>
  <c r="I12" i="5"/>
  <c r="H12" i="5"/>
  <c r="G12" i="5"/>
  <c r="F12" i="5"/>
  <c r="E12" i="5"/>
  <c r="D12" i="5"/>
  <c r="C12" i="5"/>
  <c r="B12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Y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</calcChain>
</file>

<file path=xl/sharedStrings.xml><?xml version="1.0" encoding="utf-8"?>
<sst xmlns="http://schemas.openxmlformats.org/spreadsheetml/2006/main" count="282" uniqueCount="213">
  <si>
    <t>Wojownik</t>
  </si>
  <si>
    <t>Cięcie</t>
  </si>
  <si>
    <t>Kopnięcie</t>
  </si>
  <si>
    <t>Okrzyk Wojenny</t>
  </si>
  <si>
    <t>Prawy Sierpowy</t>
  </si>
  <si>
    <t>Bandaż Polowy</t>
  </si>
  <si>
    <t>0 PW, 60% PA</t>
  </si>
  <si>
    <t>20 PW, 45% PA</t>
  </si>
  <si>
    <t>30 PW, 35% PA</t>
  </si>
  <si>
    <t>35 PW, 60% PA</t>
  </si>
  <si>
    <t>40 PW, 65% PA</t>
  </si>
  <si>
    <t>Zadaje losowe obrażenia fizyczne</t>
  </si>
  <si>
    <t>Odepchnięcie 1, [80%] zmniejsza unik o 15 na 1 turę</t>
  </si>
  <si>
    <t>Zwiększa zadawane obrażenia o 15%</t>
  </si>
  <si>
    <t>Zadaje najmniejsze obrażenia, [80%] ogłuszenie na 3 tury</t>
  </si>
  <si>
    <t>Leczy 8% brakującego zdrowia, usuwa krwawienie</t>
  </si>
  <si>
    <t>Celność: 82</t>
  </si>
  <si>
    <t>Celność: 73</t>
  </si>
  <si>
    <t>Celność: 72</t>
  </si>
  <si>
    <t>Cel: Jeden wróg</t>
  </si>
  <si>
    <t>Cel: Wszyscy sojusznicy</t>
  </si>
  <si>
    <t>Cel: Jeden sojusznik</t>
  </si>
  <si>
    <t>Zasięg: 1</t>
  </si>
  <si>
    <t>Zasięg: 2</t>
  </si>
  <si>
    <t>Dowódca</t>
  </si>
  <si>
    <t>Rozkaz Unicestwienia</t>
  </si>
  <si>
    <t>Unieruchomienie</t>
  </si>
  <si>
    <t>Blok</t>
  </si>
  <si>
    <t>Rozkaz Przegrupowania</t>
  </si>
  <si>
    <t>Przedarcie</t>
  </si>
  <si>
    <t>45 PW, 70% PA</t>
  </si>
  <si>
    <t>40 PW, 70% PA</t>
  </si>
  <si>
    <t>35 PW, 40% PA</t>
  </si>
  <si>
    <t>30 PW, 70% PA</t>
  </si>
  <si>
    <t>80 PW, 80% PA</t>
  </si>
  <si>
    <t>[90%] Zwiększa obrażenia zadawane celowi przez wszystkich sojuszników o 10% na 3 tury</t>
  </si>
  <si>
    <t>Zadaje losowe obrażenia fizyczne, [90%] unieruchomienie na 2 tury</t>
  </si>
  <si>
    <t>Spowalnia do 2 na 2 tury, zmniejsza szansę na bycia trafionym do 20%</t>
  </si>
  <si>
    <t>Każdy sojusznik ma 1 dodatkowy krok przez następne 3 tury</t>
  </si>
  <si>
    <t>Szarżuje do końca pola bitwy, odpychając każdego napotkanego przeciwnika, zadając 200% obrażeń fizycznych i [85%] ogłuszając na 2 tury</t>
  </si>
  <si>
    <t>Celność: 71</t>
  </si>
  <si>
    <t>Celność: 88</t>
  </si>
  <si>
    <t>Cel: Rzucający</t>
  </si>
  <si>
    <t>Cel: Wybrany kierunek</t>
  </si>
  <si>
    <t>Zasięg: 4</t>
  </si>
  <si>
    <t>Zasięg: 3</t>
  </si>
  <si>
    <t>Awanturnik</t>
  </si>
  <si>
    <t>Krwawiące Zniszczenie</t>
  </si>
  <si>
    <t>Krzyk</t>
  </si>
  <si>
    <t>Młyniec</t>
  </si>
  <si>
    <t>Pragnienie Śmierci</t>
  </si>
  <si>
    <t>Heroiczna Furia</t>
  </si>
  <si>
    <t>100% PW, 60% PA</t>
  </si>
  <si>
    <t>40 PW, 20% PA</t>
  </si>
  <si>
    <t>Toggle</t>
  </si>
  <si>
    <t>0 PW, 70% AP</t>
  </si>
  <si>
    <t>Zadaje najmniejsze obrażenia fizyczne, [75%] krwawienie 90% na 4 tury</t>
  </si>
  <si>
    <t>[90%] Ogłusza na 1 turę, lub na 3 tury, jeśli zużyje co najmniej 50 wściekłości</t>
  </si>
  <si>
    <t>Zadaje 15% losowych obrażeń 3 razy</t>
  </si>
  <si>
    <t>Zużywa 25% maksymalnej lub 20 wściekłości (większe) na turę, zwiększa zadawane i przyjmowane obrażenia o 50%, każde śmiertelne obrażenia są negowane</t>
  </si>
  <si>
    <t>Leczy 0.2% maksymalnego zdrowia za każdy zużyty punkt wściekłości przez ostatnie 5 tur, licznik resetuje się po użyciu umiejętności</t>
  </si>
  <si>
    <t>Celność: 75</t>
  </si>
  <si>
    <t>Celność: 79</t>
  </si>
  <si>
    <t>Cel: Obszarowy na wrogów</t>
  </si>
  <si>
    <t>Zbrojny</t>
  </si>
  <si>
    <t>Postawa Defensywna</t>
  </si>
  <si>
    <t>Cios Rękojeścią</t>
  </si>
  <si>
    <t>Przewidywanie</t>
  </si>
  <si>
    <t>Odnowienie Energii</t>
  </si>
  <si>
    <t>Żelazna Ostoja</t>
  </si>
  <si>
    <t>50 PW, 40% PA</t>
  </si>
  <si>
    <t>55 PW, 100% PA</t>
  </si>
  <si>
    <t>50 PW, 80% PA</t>
  </si>
  <si>
    <t>Zapewnia tarcze o wartości 15% maksymalnego zdrowia na 5 tur</t>
  </si>
  <si>
    <t>[90%] Zmniejsza odporność na ogłuszenie przeciwnika o 50%[p], następnie [70%] ogłuszenie na 3 tury</t>
  </si>
  <si>
    <t>Zwiększa unik o 5 za każde pole odległości od przeciwnika</t>
  </si>
  <si>
    <t>Usypia na 2 tury, odnawia 20% maksymalnego zdrowia przez 2 tury</t>
  </si>
  <si>
    <t>Przez 5 tur przyjmujesz 60% obrażeń otrzymanych przez sojuszników i mitygujesz je o 75%</t>
  </si>
  <si>
    <t>Celność: 70</t>
  </si>
  <si>
    <t>Cel: Rzucający, Wszyscy sojusznicy</t>
  </si>
  <si>
    <t>Zwiadowca</t>
  </si>
  <si>
    <t>Rzut Sztyletem</t>
  </si>
  <si>
    <t>Wymiana</t>
  </si>
  <si>
    <t>Chmura Dymu</t>
  </si>
  <si>
    <t>Linka z Hakiem</t>
  </si>
  <si>
    <t>Celny Rzut</t>
  </si>
  <si>
    <t>0 PP, 60% PA, 1sz./-</t>
  </si>
  <si>
    <t>40 PP, 40% PA</t>
  </si>
  <si>
    <t>65 PP, 30% PA</t>
  </si>
  <si>
    <t>25 PP, 30% PA</t>
  </si>
  <si>
    <t>50 PP, 70% PA, 1sz./</t>
  </si>
  <si>
    <t>Zadaje najmniejsze obrażenia fizyczne, zamienia pozycjami z przeciwnikiem</t>
  </si>
  <si>
    <t>[80%] Zmniejsza celność o 20 na 3 tury</t>
  </si>
  <si>
    <t>[75%] Przyciągnięcie 3,</t>
  </si>
  <si>
    <t>Zadaje losowe obrażenia fizyczne, zawsze jest ciosem krytycznym</t>
  </si>
  <si>
    <t>Celność: 74</t>
  </si>
  <si>
    <t>Celność: 80</t>
  </si>
  <si>
    <t>Celność: 85</t>
  </si>
  <si>
    <t>Cel: Wszyscy przeciwnicy</t>
  </si>
  <si>
    <t>Cel: Jeden wróg/Sztylet</t>
  </si>
  <si>
    <t>Zasięg: 4/1</t>
  </si>
  <si>
    <t>Zasięg: 6</t>
  </si>
  <si>
    <t>Skrytobójca</t>
  </si>
  <si>
    <t>Rykoszet</t>
  </si>
  <si>
    <t>Słaby Punkt</t>
  </si>
  <si>
    <t>Wojownik Cieni</t>
  </si>
  <si>
    <t>Przewrót w Przód</t>
  </si>
  <si>
    <t>Niesamowite Skupienie</t>
  </si>
  <si>
    <t>60 PP, 70% PA, 1sz.</t>
  </si>
  <si>
    <t>80 PP, 55% PA</t>
  </si>
  <si>
    <t>50 PP, 70% PA</t>
  </si>
  <si>
    <t>80 PP, 80% PA</t>
  </si>
  <si>
    <t>100 PP, 90% PA</t>
  </si>
  <si>
    <t>Zadaje losowe obrażenia fizyczne, każde kolejne trafienie ma 10% większą szansę krytyczną</t>
  </si>
  <si>
    <t>[95%] Zwiększa szansę na cios krytyczny o 10% i obrażenia krytyczne o 20% na 5 tur wobec wroga</t>
  </si>
  <si>
    <t>Daje niewidzialność na 3 tury, Szarża 1</t>
  </si>
  <si>
    <t>Następny atak jest gwarantowanym ciosem krytycznym, następna obrona jest gwarantowanym unikiem, Szarża 2</t>
  </si>
  <si>
    <t>Przez 5 tur szansa na bycie trafionym spada do 0%, po tym czasie zwiększa obrażenia o 10% (maksymalnie 60%) za każdy uniknięty atak na 5 tur</t>
  </si>
  <si>
    <t>Celność: 81</t>
  </si>
  <si>
    <t>Cel: Ciąg wrogów [3]</t>
  </si>
  <si>
    <t>Zasięg: b4w2</t>
  </si>
  <si>
    <t>Zasięg: 8</t>
  </si>
  <si>
    <t>Tancerz Ostrzy</t>
  </si>
  <si>
    <t>Zatruty Sztylet</t>
  </si>
  <si>
    <t>Szybkie Ciosy</t>
  </si>
  <si>
    <t>Tonik Pobudzający</t>
  </si>
  <si>
    <t>Wzmacniający Jad</t>
  </si>
  <si>
    <t>Klątwa Schorowanych</t>
  </si>
  <si>
    <t>Refleks Zabójcy</t>
  </si>
  <si>
    <t>25 PW, 65% PA, 1sz./</t>
  </si>
  <si>
    <t>30 PP, 70% PA, 3sz./</t>
  </si>
  <si>
    <t>65 PP, 40% PA</t>
  </si>
  <si>
    <t>50 PP, 50% PA</t>
  </si>
  <si>
    <t>55 PP, 70% PA, 1sz./</t>
  </si>
  <si>
    <t>90 PP, 90% AP</t>
  </si>
  <si>
    <t>Zadaje najmniejsze obrażenia fizyczne, [65%] zatrucie 90% na 3 tury</t>
  </si>
  <si>
    <t>Zadaje 25% losowych obrażeń fizycznych 3 razy, każdy cios ma 35% na podwójne obrażenia</t>
  </si>
  <si>
    <t>Przyspieszenie o 3 na 5 tur, po tym spowolnienie o 2 na 2 tury</t>
  </si>
  <si>
    <t>Zatrucie 90% na 4 tury, zwiększa obrażenia o 25% na 4 tury</t>
  </si>
  <si>
    <t>Zadaje losowe obrażenia fizyczne, zwiększone o 40%, jeśli cel jest zatruty. Wydłuża czas trwania zatrucia o 1 turę</t>
  </si>
  <si>
    <t>Przez 5 następnych tur wykonuje Rzut Sztyletem bez kosztu PA w losowy cel</t>
  </si>
  <si>
    <t>Cel: Rzucajacy</t>
  </si>
  <si>
    <t>Strażnik</t>
  </si>
  <si>
    <t>Kontuzjowanie</t>
  </si>
  <si>
    <t>Prowokacja</t>
  </si>
  <si>
    <t>Kontratak</t>
  </si>
  <si>
    <t>Pociągnięcie za Sznurki</t>
  </si>
  <si>
    <t>40 PP, 65% PA, 1sz./</t>
  </si>
  <si>
    <t>55 PP, 70% PA</t>
  </si>
  <si>
    <t>70 PP, 40% PA</t>
  </si>
  <si>
    <t>85 PP, 100% PA</t>
  </si>
  <si>
    <t>Zadaje najmniejsze obrażenia fizyczne, [90%] spowolnienie 3 na 3 tury, poruszanie się ma 10% szansy na unieruchomienie na 3 tury</t>
  </si>
  <si>
    <t>[85%] prowokacja na 3 tury</t>
  </si>
  <si>
    <t>Następny otrzymany atak zwraca 100% obrażeń przedmitygacyjnych do atakującego</t>
  </si>
  <si>
    <t>Przywraca wszystkie sztylety do ręki, każdy przywrócony sztylet daje tarczę o wartości 15% maksymalnego zdrowia na 5 tur</t>
  </si>
  <si>
    <t>Celność: 76</t>
  </si>
  <si>
    <t>Czarodziej</t>
  </si>
  <si>
    <t>Kula Energii</t>
  </si>
  <si>
    <t>Kula Ognia</t>
  </si>
  <si>
    <t>Skupienie</t>
  </si>
  <si>
    <t>Magiczna Tarcza</t>
  </si>
  <si>
    <t>Męczące Czary</t>
  </si>
  <si>
    <t>5 MP, 75% PA</t>
  </si>
  <si>
    <t>40 MP, 75% PA</t>
  </si>
  <si>
    <t>0 MP, 85% PA</t>
  </si>
  <si>
    <t>40 MP, 90% PA</t>
  </si>
  <si>
    <t>Zadaje losowe obrażenia magiczne</t>
  </si>
  <si>
    <t>Zadaje losowe obrażenia magiczne, [75%] podpalenie 80% na 3 tury</t>
  </si>
  <si>
    <t>Poświęca zdrowie równe 10% maksymalnego zdrowia i przywraca MP równą dwukrotności poświęconego zdrowia</t>
  </si>
  <si>
    <t>Zapewnia tarczę o wartości 400% ataku</t>
  </si>
  <si>
    <t>Zatrzymuje regenerację many, ataki nakładają [70%] spowolnienie 3 na 3 tury</t>
  </si>
  <si>
    <t>Cel: Jeden sojusznik lub Rzucający</t>
  </si>
  <si>
    <t>Czarnoksiężnik</t>
  </si>
  <si>
    <t>Ofiara</t>
  </si>
  <si>
    <t>Skupienie Magii</t>
  </si>
  <si>
    <t>Poświęcenie</t>
  </si>
  <si>
    <t>Roztrojenie Energii</t>
  </si>
  <si>
    <t>Rytuał</t>
  </si>
  <si>
    <t>Teleportacja</t>
  </si>
  <si>
    <t>Egzaltacja</t>
  </si>
  <si>
    <t>Toggle, raz na turę</t>
  </si>
  <si>
    <t>35 PM, 40% PA</t>
  </si>
  <si>
    <t>40 PM, 40% PA</t>
  </si>
  <si>
    <t>35 PM, 70% PA</t>
  </si>
  <si>
    <t>50 PM, 30% PA</t>
  </si>
  <si>
    <t>75 PM, 65% PA</t>
  </si>
  <si>
    <t>100 PM</t>
  </si>
  <si>
    <t>Zwiększa obrażenia zadawane i przyjmowane o 30%</t>
  </si>
  <si>
    <t>Przez następne 3 tury zadajesz zawsze największe obrażenia;</t>
  </si>
  <si>
    <t>Zmniejsza obrażenia wybranego sojusznika o 20%; zwiększając swoje obrażenia o 20% na 3 tury;</t>
  </si>
  <si>
    <t>Zadaje 50% obrażeń w prostej linii i na ukos w lewo i prawo;</t>
  </si>
  <si>
    <t>Zadaje wszystkim członkom drużyny 5% ich maksymalnego zdrowia w zamian za regenerację 2% przez 5 tury;</t>
  </si>
  <si>
    <t>Teleportuje sojusznika w wybrane miejsce;</t>
  </si>
  <si>
    <t>Tworzy tarczę równą 75% twojego maksymalnego zdrowia, wszystkie ataki do czasu zniszczenia tarczy są atakami krytycznymi;</t>
  </si>
  <si>
    <t>Cel: Jeden sojusznik, Rzucjący,</t>
  </si>
  <si>
    <t>Cel: Linia wrogów [6]; Zasięg: 8</t>
  </si>
  <si>
    <t>Cel: Wszyscy sojusznicy, Rzucający</t>
  </si>
  <si>
    <t>Cel: Jeden sojusznik/Rzucający</t>
  </si>
  <si>
    <t>Zasięg: b7w3</t>
  </si>
  <si>
    <t>Mag Ognia</t>
  </si>
  <si>
    <t>Mag Lodu</t>
  </si>
  <si>
    <t>Paladyn</t>
  </si>
  <si>
    <t>Duchowny</t>
  </si>
  <si>
    <t>Obrońca</t>
  </si>
  <si>
    <t>Krzyżowiec</t>
  </si>
  <si>
    <t>Kapłan</t>
  </si>
  <si>
    <t>Szaman</t>
  </si>
  <si>
    <t>Druid</t>
  </si>
  <si>
    <t>Kapłan Run</t>
  </si>
  <si>
    <t>TRUE: Movement FALSE: Spell Range</t>
  </si>
  <si>
    <t>Speed =</t>
  </si>
  <si>
    <t>Moves</t>
  </si>
  <si>
    <t>Range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</si>
</sst>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3" borderId="0" xfId="0" applyFont="1" applyFill="1"/>
    <xf numFmtId="2" fontId="1" fillId="4" borderId="2" xfId="0" applyNumberFormat="1" applyFont="1" applyFill="1" applyBorder="1" applyAlignment="1">
      <alignment horizontal="center" vertical="center"/>
    </xf>
    <xf numFmtId="0" fontId="1" fillId="5" borderId="0" xfId="0" applyFont="1" applyFill="1"/>
    <xf numFmtId="0" fontId="1" fillId="6" borderId="2" xfId="0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1" xfId="0" applyFont="1" applyBorder="1"/>
    <xf numFmtId="0" fontId="1" fillId="2" borderId="0" xfId="0" applyFont="1" applyFill="1" applyAlignment="1">
      <alignment horizontal="center" vertical="center" wrapText="1"/>
    </xf>
  </cellXfs>
  <cellStyles count="1">
    <cellStyle name="Normalny" xfId="0" builtinId="0"/>
  </cellStyles>
  <dxfs count="4">
    <dxf>
      <fill>
        <patternFill patternType="solid">
          <fgColor rgb="FFDD7E6B"/>
          <bgColor rgb="FFDD7E6B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20"/>
  <sheetViews>
    <sheetView tabSelected="1" workbookViewId="0">
      <selection activeCell="E24" sqref="E24"/>
    </sheetView>
  </sheetViews>
  <sheetFormatPr defaultColWidth="12.5703125" defaultRowHeight="15.75" customHeight="1" x14ac:dyDescent="0.2"/>
  <cols>
    <col min="3" max="9" width="37.28515625" customWidth="1"/>
  </cols>
  <sheetData>
    <row r="1" spans="1:16" ht="15.75" customHeight="1" x14ac:dyDescent="0.2">
      <c r="A1" s="12" t="s">
        <v>0</v>
      </c>
      <c r="B1" s="1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5"/>
      <c r="I1" s="13"/>
      <c r="J1" s="1"/>
      <c r="K1" s="1"/>
      <c r="L1" s="1"/>
      <c r="M1" s="1"/>
      <c r="N1" s="1"/>
      <c r="O1" s="1"/>
      <c r="P1" s="1"/>
    </row>
    <row r="2" spans="1:16" ht="15.75" customHeight="1" x14ac:dyDescent="0.2">
      <c r="A2" s="13"/>
      <c r="B2" s="13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13"/>
      <c r="I2" s="13"/>
      <c r="J2" s="1"/>
      <c r="K2" s="1"/>
      <c r="L2" s="1"/>
      <c r="M2" s="1"/>
      <c r="N2" s="1"/>
      <c r="O2" s="1"/>
      <c r="P2" s="1"/>
    </row>
    <row r="3" spans="1:16" ht="15.75" customHeight="1" x14ac:dyDescent="0.2">
      <c r="A3" s="13"/>
      <c r="B3" s="13"/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3"/>
      <c r="I3" s="13"/>
      <c r="J3" s="1"/>
      <c r="K3" s="1"/>
      <c r="L3" s="1"/>
      <c r="M3" s="1"/>
      <c r="N3" s="1"/>
      <c r="O3" s="1"/>
      <c r="P3" s="1"/>
    </row>
    <row r="4" spans="1:16" ht="15.75" customHeight="1" x14ac:dyDescent="0.2">
      <c r="A4" s="13"/>
      <c r="B4" s="13"/>
      <c r="C4" s="1" t="s">
        <v>16</v>
      </c>
      <c r="D4" s="1" t="s">
        <v>17</v>
      </c>
      <c r="E4" s="1"/>
      <c r="F4" s="1" t="s">
        <v>18</v>
      </c>
      <c r="G4" s="1"/>
      <c r="H4" s="13"/>
      <c r="I4" s="13"/>
      <c r="J4" s="1"/>
      <c r="K4" s="1"/>
      <c r="L4" s="1"/>
      <c r="M4" s="1"/>
      <c r="N4" s="1"/>
      <c r="O4" s="1"/>
      <c r="P4" s="1"/>
    </row>
    <row r="5" spans="1:16" ht="15.75" customHeight="1" x14ac:dyDescent="0.2">
      <c r="A5" s="13"/>
      <c r="B5" s="13"/>
      <c r="C5" s="1" t="s">
        <v>19</v>
      </c>
      <c r="D5" s="1" t="s">
        <v>19</v>
      </c>
      <c r="E5" s="1" t="s">
        <v>20</v>
      </c>
      <c r="F5" s="1" t="s">
        <v>19</v>
      </c>
      <c r="G5" s="1" t="s">
        <v>21</v>
      </c>
      <c r="H5" s="13"/>
      <c r="I5" s="13"/>
      <c r="J5" s="1"/>
      <c r="K5" s="1"/>
      <c r="L5" s="1"/>
      <c r="M5" s="1"/>
      <c r="N5" s="1"/>
      <c r="O5" s="1"/>
      <c r="P5" s="1"/>
    </row>
    <row r="6" spans="1:16" ht="15.75" customHeight="1" x14ac:dyDescent="0.2">
      <c r="A6" s="13"/>
      <c r="B6" s="14"/>
      <c r="C6" s="4" t="s">
        <v>22</v>
      </c>
      <c r="D6" s="4" t="s">
        <v>22</v>
      </c>
      <c r="E6" s="4"/>
      <c r="F6" s="4" t="s">
        <v>22</v>
      </c>
      <c r="G6" s="4" t="s">
        <v>23</v>
      </c>
      <c r="H6" s="14"/>
      <c r="I6" s="14"/>
      <c r="J6" s="1"/>
      <c r="K6" s="1"/>
      <c r="L6" s="1"/>
      <c r="M6" s="1"/>
      <c r="N6" s="1"/>
      <c r="O6" s="1"/>
      <c r="P6" s="1"/>
    </row>
    <row r="7" spans="1:16" ht="15.75" customHeight="1" x14ac:dyDescent="0.2">
      <c r="A7" s="13"/>
      <c r="B7" s="1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3"/>
      <c r="I7" s="3"/>
      <c r="J7" s="1"/>
      <c r="K7" s="1"/>
      <c r="L7" s="1"/>
      <c r="M7" s="1"/>
      <c r="N7" s="1"/>
      <c r="O7" s="1"/>
      <c r="P7" s="1"/>
    </row>
    <row r="8" spans="1:16" ht="15.75" customHeight="1" x14ac:dyDescent="0.2">
      <c r="A8" s="13"/>
      <c r="B8" s="13"/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3"/>
      <c r="I8" s="3"/>
      <c r="J8" s="1"/>
      <c r="K8" s="1"/>
      <c r="L8" s="1"/>
      <c r="M8" s="1"/>
      <c r="N8" s="1"/>
      <c r="O8" s="1"/>
      <c r="P8" s="1"/>
    </row>
    <row r="9" spans="1:16" ht="15.75" customHeight="1" x14ac:dyDescent="0.2">
      <c r="A9" s="13"/>
      <c r="B9" s="13"/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3"/>
      <c r="I9" s="3"/>
      <c r="J9" s="1"/>
      <c r="K9" s="1"/>
      <c r="L9" s="1"/>
      <c r="M9" s="1"/>
      <c r="N9" s="1"/>
      <c r="O9" s="1"/>
      <c r="P9" s="1"/>
    </row>
    <row r="10" spans="1:16" ht="15.75" customHeight="1" x14ac:dyDescent="0.2">
      <c r="A10" s="13"/>
      <c r="B10" s="13"/>
      <c r="C10" s="1"/>
      <c r="D10" s="1" t="s">
        <v>40</v>
      </c>
      <c r="E10" s="1"/>
      <c r="F10" s="1"/>
      <c r="G10" s="1" t="s">
        <v>41</v>
      </c>
      <c r="H10" s="3"/>
      <c r="I10" s="3"/>
      <c r="J10" s="1"/>
      <c r="K10" s="1"/>
      <c r="L10" s="1"/>
      <c r="M10" s="1"/>
      <c r="N10" s="1"/>
      <c r="O10" s="1"/>
      <c r="P10" s="1"/>
    </row>
    <row r="11" spans="1:16" ht="15.75" customHeight="1" x14ac:dyDescent="0.2">
      <c r="A11" s="13"/>
      <c r="B11" s="13"/>
      <c r="C11" s="1" t="s">
        <v>19</v>
      </c>
      <c r="D11" s="1" t="s">
        <v>19</v>
      </c>
      <c r="E11" s="1" t="s">
        <v>42</v>
      </c>
      <c r="F11" s="1" t="s">
        <v>20</v>
      </c>
      <c r="G11" s="1" t="s">
        <v>43</v>
      </c>
      <c r="H11" s="3"/>
      <c r="I11" s="3"/>
      <c r="J11" s="1"/>
      <c r="K11" s="1"/>
      <c r="L11" s="1"/>
      <c r="M11" s="1"/>
      <c r="N11" s="1"/>
      <c r="O11" s="1"/>
      <c r="P11" s="1"/>
    </row>
    <row r="12" spans="1:16" ht="15.75" customHeight="1" x14ac:dyDescent="0.2">
      <c r="A12" s="13"/>
      <c r="B12" s="14"/>
      <c r="C12" s="4" t="s">
        <v>44</v>
      </c>
      <c r="D12" s="4" t="s">
        <v>22</v>
      </c>
      <c r="E12" s="4"/>
      <c r="F12" s="4" t="s">
        <v>45</v>
      </c>
      <c r="G12" s="4"/>
      <c r="H12" s="5"/>
      <c r="I12" s="5"/>
      <c r="J12" s="1"/>
      <c r="K12" s="1"/>
      <c r="L12" s="1"/>
      <c r="M12" s="1"/>
      <c r="N12" s="1"/>
      <c r="O12" s="1"/>
      <c r="P12" s="1"/>
    </row>
    <row r="13" spans="1:16" ht="15.75" customHeight="1" x14ac:dyDescent="0.2">
      <c r="A13" s="13"/>
      <c r="B13" s="12" t="s">
        <v>46</v>
      </c>
      <c r="C13" s="2" t="s">
        <v>47</v>
      </c>
      <c r="D13" s="2" t="s">
        <v>48</v>
      </c>
      <c r="E13" s="2" t="s">
        <v>49</v>
      </c>
      <c r="F13" s="2" t="s">
        <v>50</v>
      </c>
      <c r="G13" s="2" t="s">
        <v>51</v>
      </c>
      <c r="H13" s="3"/>
      <c r="I13" s="3"/>
      <c r="J13" s="1"/>
      <c r="K13" s="1"/>
      <c r="L13" s="1"/>
      <c r="M13" s="1"/>
      <c r="N13" s="1"/>
      <c r="O13" s="1"/>
      <c r="P13" s="1"/>
    </row>
    <row r="14" spans="1:16" ht="15.75" customHeight="1" x14ac:dyDescent="0.2">
      <c r="A14" s="13"/>
      <c r="B14" s="13"/>
      <c r="C14" s="2" t="s">
        <v>10</v>
      </c>
      <c r="D14" s="2" t="s">
        <v>52</v>
      </c>
      <c r="E14" s="2" t="s">
        <v>53</v>
      </c>
      <c r="F14" s="2" t="s">
        <v>54</v>
      </c>
      <c r="G14" s="2" t="s">
        <v>55</v>
      </c>
      <c r="H14" s="3"/>
      <c r="I14" s="3"/>
      <c r="J14" s="1"/>
      <c r="K14" s="1"/>
      <c r="L14" s="1"/>
      <c r="M14" s="1"/>
      <c r="N14" s="1"/>
      <c r="O14" s="1"/>
      <c r="P14" s="1"/>
    </row>
    <row r="15" spans="1:16" ht="15.75" customHeight="1" x14ac:dyDescent="0.2">
      <c r="A15" s="13"/>
      <c r="B15" s="13"/>
      <c r="C15" s="1" t="s">
        <v>56</v>
      </c>
      <c r="D15" s="1" t="s">
        <v>57</v>
      </c>
      <c r="E15" s="1" t="s">
        <v>58</v>
      </c>
      <c r="F15" s="1" t="s">
        <v>59</v>
      </c>
      <c r="G15" s="1" t="s">
        <v>60</v>
      </c>
      <c r="H15" s="3"/>
      <c r="I15" s="3"/>
      <c r="J15" s="1"/>
      <c r="K15" s="1"/>
      <c r="L15" s="1"/>
      <c r="M15" s="1"/>
      <c r="N15" s="1"/>
      <c r="O15" s="1"/>
      <c r="P15" s="1"/>
    </row>
    <row r="16" spans="1:16" ht="15.75" customHeight="1" x14ac:dyDescent="0.2">
      <c r="A16" s="13"/>
      <c r="B16" s="13"/>
      <c r="C16" s="1" t="s">
        <v>61</v>
      </c>
      <c r="D16" s="1"/>
      <c r="E16" s="1" t="s">
        <v>62</v>
      </c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</row>
    <row r="17" spans="1:16" ht="15.75" customHeight="1" x14ac:dyDescent="0.2">
      <c r="A17" s="13"/>
      <c r="B17" s="13"/>
      <c r="C17" s="1" t="s">
        <v>19</v>
      </c>
      <c r="D17" s="1" t="s">
        <v>19</v>
      </c>
      <c r="E17" s="1" t="s">
        <v>63</v>
      </c>
      <c r="F17" s="1" t="s">
        <v>42</v>
      </c>
      <c r="G17" s="1" t="s">
        <v>42</v>
      </c>
      <c r="H17" s="3"/>
      <c r="I17" s="3"/>
      <c r="J17" s="1"/>
      <c r="K17" s="1"/>
      <c r="L17" s="1"/>
      <c r="M17" s="1"/>
      <c r="N17" s="1"/>
      <c r="O17" s="1"/>
      <c r="P17" s="1"/>
    </row>
    <row r="18" spans="1:16" ht="15.75" customHeight="1" x14ac:dyDescent="0.2">
      <c r="A18" s="13"/>
      <c r="B18" s="14"/>
      <c r="C18" s="4" t="s">
        <v>22</v>
      </c>
      <c r="D18" s="4" t="s">
        <v>45</v>
      </c>
      <c r="E18" s="4" t="s">
        <v>22</v>
      </c>
      <c r="F18" s="4"/>
      <c r="G18" s="4"/>
      <c r="H18" s="5"/>
      <c r="I18" s="5"/>
      <c r="J18" s="1"/>
      <c r="K18" s="1"/>
      <c r="L18" s="1"/>
      <c r="M18" s="1"/>
      <c r="N18" s="1"/>
      <c r="O18" s="1"/>
      <c r="P18" s="1"/>
    </row>
    <row r="19" spans="1:16" ht="15.75" customHeight="1" x14ac:dyDescent="0.2">
      <c r="A19" s="13"/>
      <c r="B19" s="12" t="s">
        <v>64</v>
      </c>
      <c r="C19" s="2" t="s">
        <v>65</v>
      </c>
      <c r="D19" s="2" t="s">
        <v>66</v>
      </c>
      <c r="E19" s="2" t="s">
        <v>67</v>
      </c>
      <c r="F19" s="2" t="s">
        <v>68</v>
      </c>
      <c r="G19" s="2" t="s">
        <v>69</v>
      </c>
      <c r="H19" s="3"/>
      <c r="I19" s="3"/>
      <c r="J19" s="1"/>
      <c r="K19" s="1"/>
      <c r="L19" s="1"/>
      <c r="M19" s="1"/>
      <c r="N19" s="1"/>
      <c r="O19" s="1"/>
      <c r="P19" s="1"/>
    </row>
    <row r="20" spans="1:16" ht="15.75" customHeight="1" x14ac:dyDescent="0.2">
      <c r="A20" s="13"/>
      <c r="B20" s="13"/>
      <c r="C20" s="2" t="s">
        <v>70</v>
      </c>
      <c r="D20" s="2" t="s">
        <v>31</v>
      </c>
      <c r="E20" s="2" t="s">
        <v>70</v>
      </c>
      <c r="F20" s="2" t="s">
        <v>71</v>
      </c>
      <c r="G20" s="2" t="s">
        <v>72</v>
      </c>
      <c r="H20" s="3"/>
      <c r="I20" s="3"/>
      <c r="J20" s="1"/>
      <c r="K20" s="1"/>
      <c r="L20" s="1"/>
      <c r="M20" s="1"/>
      <c r="N20" s="1"/>
      <c r="O20" s="1"/>
      <c r="P20" s="1"/>
    </row>
    <row r="21" spans="1:16" ht="15.75" customHeight="1" x14ac:dyDescent="0.2">
      <c r="A21" s="13"/>
      <c r="B21" s="13"/>
      <c r="C21" s="1" t="s">
        <v>73</v>
      </c>
      <c r="D21" s="1" t="s">
        <v>74</v>
      </c>
      <c r="E21" s="1" t="s">
        <v>75</v>
      </c>
      <c r="F21" s="1" t="s">
        <v>76</v>
      </c>
      <c r="G21" s="1" t="s">
        <v>77</v>
      </c>
      <c r="H21" s="3"/>
      <c r="I21" s="3"/>
      <c r="J21" s="1"/>
      <c r="K21" s="1"/>
      <c r="L21" s="1"/>
      <c r="M21" s="1"/>
      <c r="N21" s="1"/>
      <c r="O21" s="1"/>
      <c r="P21" s="1"/>
    </row>
    <row r="22" spans="1:16" ht="15.75" customHeight="1" x14ac:dyDescent="0.2">
      <c r="A22" s="13"/>
      <c r="B22" s="13"/>
      <c r="C22" s="1"/>
      <c r="D22" s="1" t="s">
        <v>78</v>
      </c>
      <c r="E22" s="1"/>
      <c r="F22" s="1"/>
      <c r="G22" s="1"/>
      <c r="H22" s="3"/>
      <c r="I22" s="3"/>
      <c r="J22" s="1"/>
      <c r="K22" s="1"/>
      <c r="L22" s="1"/>
      <c r="M22" s="1"/>
      <c r="N22" s="1"/>
      <c r="O22" s="1"/>
      <c r="P22" s="1"/>
    </row>
    <row r="23" spans="1:16" ht="15.75" customHeight="1" x14ac:dyDescent="0.2">
      <c r="A23" s="13"/>
      <c r="B23" s="13"/>
      <c r="C23" s="1" t="s">
        <v>42</v>
      </c>
      <c r="D23" s="1" t="s">
        <v>19</v>
      </c>
      <c r="E23" s="1" t="s">
        <v>42</v>
      </c>
      <c r="F23" s="1" t="s">
        <v>42</v>
      </c>
      <c r="G23" s="1" t="s">
        <v>79</v>
      </c>
      <c r="H23" s="3"/>
      <c r="I23" s="3"/>
      <c r="J23" s="1"/>
      <c r="K23" s="1"/>
      <c r="L23" s="1"/>
      <c r="M23" s="1"/>
      <c r="N23" s="1"/>
      <c r="O23" s="1"/>
      <c r="P23" s="1"/>
    </row>
    <row r="24" spans="1:16" ht="15.75" customHeight="1" x14ac:dyDescent="0.2">
      <c r="A24" s="13"/>
      <c r="B24" s="14"/>
      <c r="C24" s="4"/>
      <c r="D24" s="4" t="s">
        <v>22</v>
      </c>
      <c r="E24" s="4"/>
      <c r="F24" s="4"/>
      <c r="G24" s="4"/>
      <c r="H24" s="5"/>
      <c r="I24" s="5"/>
      <c r="J24" s="1"/>
      <c r="K24" s="1"/>
      <c r="L24" s="1"/>
      <c r="M24" s="1"/>
      <c r="N24" s="1"/>
      <c r="O24" s="1"/>
      <c r="P24" s="1"/>
    </row>
    <row r="25" spans="1:16" ht="15.75" customHeight="1" x14ac:dyDescent="0.2">
      <c r="A25" s="12" t="s">
        <v>80</v>
      </c>
      <c r="B25" s="12" t="s">
        <v>80</v>
      </c>
      <c r="C25" s="2" t="s">
        <v>81</v>
      </c>
      <c r="D25" s="2" t="s">
        <v>82</v>
      </c>
      <c r="E25" s="2" t="s">
        <v>83</v>
      </c>
      <c r="F25" s="2" t="s">
        <v>84</v>
      </c>
      <c r="G25" s="2" t="s">
        <v>85</v>
      </c>
      <c r="H25" s="3"/>
      <c r="I25" s="3"/>
      <c r="J25" s="1"/>
      <c r="K25" s="1"/>
      <c r="L25" s="1"/>
      <c r="M25" s="1"/>
      <c r="N25" s="1"/>
      <c r="O25" s="1"/>
      <c r="P25" s="1"/>
    </row>
    <row r="26" spans="1:16" ht="15.75" customHeight="1" x14ac:dyDescent="0.2">
      <c r="A26" s="13"/>
      <c r="B26" s="13"/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3"/>
      <c r="I26" s="3"/>
      <c r="J26" s="1"/>
      <c r="K26" s="1"/>
      <c r="L26" s="1"/>
      <c r="M26" s="1"/>
      <c r="N26" s="1"/>
      <c r="O26" s="1"/>
      <c r="P26" s="1"/>
    </row>
    <row r="27" spans="1:16" ht="15.75" customHeight="1" x14ac:dyDescent="0.2">
      <c r="A27" s="13"/>
      <c r="B27" s="13"/>
      <c r="C27" s="1" t="s">
        <v>11</v>
      </c>
      <c r="D27" s="1" t="s">
        <v>91</v>
      </c>
      <c r="E27" s="1" t="s">
        <v>92</v>
      </c>
      <c r="F27" s="1" t="s">
        <v>93</v>
      </c>
      <c r="G27" s="1" t="s">
        <v>94</v>
      </c>
      <c r="H27" s="3"/>
      <c r="I27" s="3"/>
      <c r="J27" s="1"/>
      <c r="K27" s="1"/>
      <c r="L27" s="1"/>
      <c r="M27" s="1"/>
      <c r="N27" s="1"/>
      <c r="O27" s="1"/>
      <c r="P27" s="1"/>
    </row>
    <row r="28" spans="1:16" ht="15.75" customHeight="1" x14ac:dyDescent="0.2">
      <c r="A28" s="13"/>
      <c r="B28" s="13"/>
      <c r="C28" s="1" t="s">
        <v>16</v>
      </c>
      <c r="D28" s="1" t="s">
        <v>95</v>
      </c>
      <c r="E28" s="1" t="s">
        <v>78</v>
      </c>
      <c r="F28" s="1" t="s">
        <v>96</v>
      </c>
      <c r="G28" s="1" t="s">
        <v>97</v>
      </c>
      <c r="H28" s="3"/>
      <c r="I28" s="3"/>
      <c r="J28" s="1"/>
      <c r="K28" s="1"/>
      <c r="L28" s="1"/>
      <c r="M28" s="1"/>
      <c r="N28" s="1"/>
      <c r="O28" s="1"/>
      <c r="P28" s="1"/>
    </row>
    <row r="29" spans="1:16" ht="15.75" customHeight="1" x14ac:dyDescent="0.2">
      <c r="A29" s="13"/>
      <c r="B29" s="13"/>
      <c r="C29" s="1" t="s">
        <v>19</v>
      </c>
      <c r="D29" s="1" t="s">
        <v>19</v>
      </c>
      <c r="E29" s="1" t="s">
        <v>98</v>
      </c>
      <c r="F29" s="1" t="s">
        <v>99</v>
      </c>
      <c r="G29" s="1" t="s">
        <v>19</v>
      </c>
      <c r="H29" s="3"/>
      <c r="I29" s="3"/>
      <c r="J29" s="1"/>
      <c r="K29" s="1"/>
      <c r="L29" s="1"/>
      <c r="M29" s="1"/>
      <c r="N29" s="1"/>
      <c r="O29" s="1"/>
      <c r="P29" s="1"/>
    </row>
    <row r="30" spans="1:16" ht="15.75" customHeight="1" x14ac:dyDescent="0.2">
      <c r="A30" s="13"/>
      <c r="B30" s="14"/>
      <c r="C30" s="4" t="s">
        <v>100</v>
      </c>
      <c r="D30" s="4" t="s">
        <v>22</v>
      </c>
      <c r="E30" s="4"/>
      <c r="F30" s="4" t="s">
        <v>101</v>
      </c>
      <c r="G30" s="4" t="s">
        <v>100</v>
      </c>
      <c r="H30" s="5"/>
      <c r="I30" s="5"/>
      <c r="J30" s="1"/>
      <c r="K30" s="1"/>
      <c r="L30" s="1"/>
      <c r="M30" s="1"/>
      <c r="N30" s="1"/>
      <c r="O30" s="1"/>
      <c r="P30" s="1"/>
    </row>
    <row r="31" spans="1:16" ht="15.75" customHeight="1" x14ac:dyDescent="0.2">
      <c r="A31" s="13"/>
      <c r="B31" s="12" t="s">
        <v>102</v>
      </c>
      <c r="C31" s="2" t="s">
        <v>103</v>
      </c>
      <c r="D31" s="2" t="s">
        <v>104</v>
      </c>
      <c r="E31" s="2" t="s">
        <v>105</v>
      </c>
      <c r="F31" s="2" t="s">
        <v>106</v>
      </c>
      <c r="G31" s="2" t="s">
        <v>107</v>
      </c>
      <c r="H31" s="3"/>
      <c r="I31" s="3"/>
      <c r="J31" s="1"/>
      <c r="K31" s="1"/>
      <c r="L31" s="1"/>
      <c r="M31" s="1"/>
      <c r="N31" s="1"/>
      <c r="O31" s="1"/>
      <c r="P31" s="1"/>
    </row>
    <row r="32" spans="1:16" ht="15.75" customHeight="1" x14ac:dyDescent="0.2">
      <c r="A32" s="13"/>
      <c r="B32" s="13"/>
      <c r="C32" s="2" t="s">
        <v>108</v>
      </c>
      <c r="D32" s="2" t="s">
        <v>109</v>
      </c>
      <c r="E32" s="2" t="s">
        <v>110</v>
      </c>
      <c r="F32" s="2" t="s">
        <v>111</v>
      </c>
      <c r="G32" s="2" t="s">
        <v>112</v>
      </c>
      <c r="H32" s="3"/>
      <c r="I32" s="3"/>
      <c r="J32" s="1"/>
      <c r="K32" s="1"/>
      <c r="L32" s="1"/>
      <c r="M32" s="1"/>
      <c r="N32" s="1"/>
      <c r="O32" s="1"/>
      <c r="P32" s="1"/>
    </row>
    <row r="33" spans="1:16" ht="15.75" customHeight="1" x14ac:dyDescent="0.2">
      <c r="A33" s="13"/>
      <c r="B33" s="13"/>
      <c r="C33" s="1" t="s">
        <v>113</v>
      </c>
      <c r="D33" s="1" t="s">
        <v>114</v>
      </c>
      <c r="E33" s="1" t="s">
        <v>115</v>
      </c>
      <c r="F33" s="1" t="s">
        <v>116</v>
      </c>
      <c r="G33" s="1" t="s">
        <v>117</v>
      </c>
      <c r="H33" s="3"/>
      <c r="I33" s="3"/>
      <c r="J33" s="1"/>
      <c r="K33" s="1"/>
      <c r="L33" s="1"/>
      <c r="M33" s="1"/>
      <c r="N33" s="1"/>
      <c r="O33" s="1"/>
      <c r="P33" s="1"/>
    </row>
    <row r="34" spans="1:16" ht="15.75" customHeight="1" x14ac:dyDescent="0.2">
      <c r="A34" s="13"/>
      <c r="B34" s="13"/>
      <c r="C34" s="1" t="s">
        <v>118</v>
      </c>
      <c r="D34" s="1"/>
      <c r="E34" s="1"/>
      <c r="F34" s="1"/>
      <c r="G34" s="1"/>
      <c r="H34" s="3"/>
      <c r="I34" s="3"/>
      <c r="J34" s="1"/>
      <c r="K34" s="1"/>
      <c r="L34" s="1"/>
      <c r="M34" s="1"/>
      <c r="N34" s="1"/>
      <c r="O34" s="1"/>
      <c r="P34" s="1"/>
    </row>
    <row r="35" spans="1:16" ht="15.75" customHeight="1" x14ac:dyDescent="0.2">
      <c r="A35" s="13"/>
      <c r="B35" s="13"/>
      <c r="C35" s="1" t="s">
        <v>119</v>
      </c>
      <c r="D35" s="1" t="s">
        <v>19</v>
      </c>
      <c r="E35" s="1" t="s">
        <v>42</v>
      </c>
      <c r="F35" s="1" t="s">
        <v>42</v>
      </c>
      <c r="G35" s="1" t="s">
        <v>42</v>
      </c>
      <c r="H35" s="3"/>
      <c r="I35" s="3"/>
      <c r="J35" s="1"/>
      <c r="K35" s="1"/>
      <c r="L35" s="1"/>
      <c r="M35" s="1"/>
      <c r="N35" s="1"/>
      <c r="O35" s="1"/>
      <c r="P35" s="1"/>
    </row>
    <row r="36" spans="1:16" ht="15.75" customHeight="1" x14ac:dyDescent="0.2">
      <c r="A36" s="13"/>
      <c r="B36" s="14"/>
      <c r="C36" s="4" t="s">
        <v>120</v>
      </c>
      <c r="D36" s="4" t="s">
        <v>121</v>
      </c>
      <c r="E36" s="4"/>
      <c r="F36" s="4"/>
      <c r="G36" s="4"/>
      <c r="H36" s="5"/>
      <c r="I36" s="5"/>
      <c r="J36" s="1"/>
      <c r="K36" s="1"/>
      <c r="L36" s="1"/>
      <c r="M36" s="1"/>
      <c r="N36" s="1"/>
      <c r="O36" s="1"/>
      <c r="P36" s="1"/>
    </row>
    <row r="37" spans="1:16" ht="15.75" customHeight="1" x14ac:dyDescent="0.2">
      <c r="A37" s="13"/>
      <c r="B37" s="12" t="s">
        <v>122</v>
      </c>
      <c r="C37" s="2" t="s">
        <v>123</v>
      </c>
      <c r="D37" s="2" t="s">
        <v>124</v>
      </c>
      <c r="E37" s="2" t="s">
        <v>125</v>
      </c>
      <c r="F37" s="2" t="s">
        <v>126</v>
      </c>
      <c r="G37" s="2" t="s">
        <v>127</v>
      </c>
      <c r="H37" s="2" t="s">
        <v>128</v>
      </c>
      <c r="I37" s="3"/>
      <c r="J37" s="1"/>
      <c r="K37" s="1"/>
      <c r="L37" s="1"/>
      <c r="M37" s="1"/>
      <c r="N37" s="1"/>
      <c r="O37" s="1"/>
      <c r="P37" s="1"/>
    </row>
    <row r="38" spans="1:16" ht="15.75" customHeight="1" x14ac:dyDescent="0.2">
      <c r="A38" s="13"/>
      <c r="B38" s="13"/>
      <c r="C38" s="2" t="s">
        <v>129</v>
      </c>
      <c r="D38" s="2" t="s">
        <v>130</v>
      </c>
      <c r="E38" s="2" t="s">
        <v>131</v>
      </c>
      <c r="F38" s="2" t="s">
        <v>132</v>
      </c>
      <c r="G38" s="2" t="s">
        <v>133</v>
      </c>
      <c r="H38" s="2" t="s">
        <v>134</v>
      </c>
      <c r="I38" s="3"/>
      <c r="J38" s="1"/>
      <c r="K38" s="1"/>
      <c r="L38" s="1"/>
      <c r="M38" s="1"/>
      <c r="N38" s="1"/>
      <c r="O38" s="1"/>
      <c r="P38" s="1"/>
    </row>
    <row r="39" spans="1:16" ht="15.75" customHeight="1" x14ac:dyDescent="0.2">
      <c r="A39" s="13"/>
      <c r="B39" s="13"/>
      <c r="C39" s="1" t="s">
        <v>135</v>
      </c>
      <c r="D39" s="1" t="s">
        <v>136</v>
      </c>
      <c r="E39" s="1" t="s">
        <v>137</v>
      </c>
      <c r="F39" s="1" t="s">
        <v>138</v>
      </c>
      <c r="G39" s="1" t="s">
        <v>139</v>
      </c>
      <c r="H39" s="1" t="s">
        <v>140</v>
      </c>
      <c r="I39" s="3"/>
      <c r="J39" s="1"/>
      <c r="K39" s="1"/>
      <c r="L39" s="1"/>
      <c r="M39" s="1"/>
      <c r="N39" s="1"/>
      <c r="O39" s="1"/>
      <c r="P39" s="1"/>
    </row>
    <row r="40" spans="1:16" ht="15.75" customHeight="1" x14ac:dyDescent="0.2">
      <c r="A40" s="13"/>
      <c r="B40" s="13"/>
      <c r="C40" s="1" t="s">
        <v>118</v>
      </c>
      <c r="D40" s="1" t="s">
        <v>95</v>
      </c>
      <c r="G40" s="1" t="s">
        <v>16</v>
      </c>
      <c r="I40" s="3"/>
      <c r="J40" s="1"/>
      <c r="K40" s="1"/>
      <c r="L40" s="1"/>
      <c r="M40" s="1"/>
      <c r="N40" s="1"/>
      <c r="O40" s="1"/>
      <c r="P40" s="1"/>
    </row>
    <row r="41" spans="1:16" ht="15.75" customHeight="1" x14ac:dyDescent="0.2">
      <c r="A41" s="13"/>
      <c r="B41" s="13"/>
      <c r="C41" s="1" t="s">
        <v>19</v>
      </c>
      <c r="D41" s="1" t="s">
        <v>19</v>
      </c>
      <c r="E41" s="1" t="s">
        <v>141</v>
      </c>
      <c r="F41" s="1" t="s">
        <v>141</v>
      </c>
      <c r="G41" s="1" t="s">
        <v>19</v>
      </c>
      <c r="H41" s="1" t="s">
        <v>42</v>
      </c>
      <c r="I41" s="3"/>
      <c r="J41" s="1"/>
      <c r="K41" s="1"/>
      <c r="L41" s="1"/>
      <c r="M41" s="1"/>
      <c r="N41" s="1"/>
      <c r="O41" s="1"/>
      <c r="P41" s="1"/>
    </row>
    <row r="42" spans="1:16" ht="15.75" customHeight="1" x14ac:dyDescent="0.2">
      <c r="A42" s="13"/>
      <c r="B42" s="14"/>
      <c r="C42" s="4" t="s">
        <v>100</v>
      </c>
      <c r="D42" s="4" t="s">
        <v>100</v>
      </c>
      <c r="E42" s="4"/>
      <c r="F42" s="4"/>
      <c r="G42" s="4" t="s">
        <v>100</v>
      </c>
      <c r="H42" s="4"/>
      <c r="I42" s="5"/>
      <c r="J42" s="1"/>
      <c r="K42" s="1"/>
      <c r="L42" s="1"/>
      <c r="M42" s="1"/>
      <c r="N42" s="1"/>
      <c r="O42" s="1"/>
      <c r="P42" s="1"/>
    </row>
    <row r="43" spans="1:16" ht="15.75" customHeight="1" x14ac:dyDescent="0.2">
      <c r="A43" s="13"/>
      <c r="B43" s="12" t="s">
        <v>142</v>
      </c>
      <c r="C43" s="2" t="s">
        <v>143</v>
      </c>
      <c r="D43" s="2" t="s">
        <v>144</v>
      </c>
      <c r="E43" s="2" t="s">
        <v>145</v>
      </c>
      <c r="F43" s="2" t="s">
        <v>146</v>
      </c>
      <c r="G43" s="3"/>
      <c r="H43" s="3"/>
      <c r="I43" s="3"/>
      <c r="J43" s="1"/>
      <c r="K43" s="1"/>
      <c r="L43" s="1"/>
      <c r="M43" s="1"/>
      <c r="N43" s="1"/>
      <c r="O43" s="1"/>
      <c r="P43" s="1"/>
    </row>
    <row r="44" spans="1:16" ht="15.75" customHeight="1" x14ac:dyDescent="0.2">
      <c r="A44" s="13"/>
      <c r="B44" s="13"/>
      <c r="C44" s="2" t="s">
        <v>147</v>
      </c>
      <c r="D44" s="2" t="s">
        <v>148</v>
      </c>
      <c r="E44" s="2" t="s">
        <v>149</v>
      </c>
      <c r="F44" s="2" t="s">
        <v>150</v>
      </c>
      <c r="G44" s="3"/>
      <c r="H44" s="3"/>
      <c r="I44" s="3"/>
      <c r="J44" s="1"/>
      <c r="K44" s="1"/>
      <c r="L44" s="1"/>
      <c r="M44" s="1"/>
      <c r="N44" s="1"/>
      <c r="O44" s="1"/>
      <c r="P44" s="1"/>
    </row>
    <row r="45" spans="1:16" ht="15.75" customHeight="1" x14ac:dyDescent="0.2">
      <c r="A45" s="13"/>
      <c r="B45" s="13"/>
      <c r="C45" s="1" t="s">
        <v>151</v>
      </c>
      <c r="D45" s="1" t="s">
        <v>152</v>
      </c>
      <c r="E45" s="1" t="s">
        <v>153</v>
      </c>
      <c r="F45" s="1" t="s">
        <v>154</v>
      </c>
      <c r="G45" s="3"/>
      <c r="H45" s="3"/>
      <c r="I45" s="3"/>
      <c r="J45" s="1"/>
      <c r="K45" s="1"/>
      <c r="L45" s="1"/>
      <c r="M45" s="1"/>
      <c r="N45" s="1"/>
      <c r="O45" s="1"/>
      <c r="P45" s="1"/>
    </row>
    <row r="46" spans="1:16" ht="15.75" customHeight="1" x14ac:dyDescent="0.2">
      <c r="A46" s="13"/>
      <c r="B46" s="13"/>
      <c r="C46" s="1" t="s">
        <v>155</v>
      </c>
      <c r="G46" s="3"/>
      <c r="H46" s="3"/>
      <c r="I46" s="3"/>
      <c r="J46" s="1"/>
      <c r="K46" s="1"/>
      <c r="L46" s="1"/>
      <c r="M46" s="1"/>
      <c r="N46" s="1"/>
      <c r="O46" s="1"/>
      <c r="P46" s="1"/>
    </row>
    <row r="47" spans="1:16" ht="15.75" customHeight="1" x14ac:dyDescent="0.2">
      <c r="A47" s="13"/>
      <c r="B47" s="13"/>
      <c r="C47" s="1" t="s">
        <v>19</v>
      </c>
      <c r="D47" s="1" t="s">
        <v>19</v>
      </c>
      <c r="E47" s="1" t="s">
        <v>42</v>
      </c>
      <c r="F47" s="1" t="s">
        <v>42</v>
      </c>
      <c r="G47" s="3"/>
      <c r="H47" s="3"/>
      <c r="I47" s="3"/>
    </row>
    <row r="48" spans="1:16" ht="15.75" customHeight="1" x14ac:dyDescent="0.2">
      <c r="A48" s="13"/>
      <c r="B48" s="14"/>
      <c r="C48" s="4" t="s">
        <v>100</v>
      </c>
      <c r="D48" s="4" t="s">
        <v>100</v>
      </c>
      <c r="E48" s="4"/>
      <c r="F48" s="4"/>
      <c r="G48" s="5"/>
      <c r="H48" s="5"/>
      <c r="I48" s="5"/>
    </row>
    <row r="49" spans="1:9" ht="15.75" customHeight="1" x14ac:dyDescent="0.2">
      <c r="A49" s="12" t="s">
        <v>156</v>
      </c>
      <c r="B49" s="12" t="s">
        <v>156</v>
      </c>
      <c r="C49" s="2" t="s">
        <v>157</v>
      </c>
      <c r="D49" s="2" t="s">
        <v>158</v>
      </c>
      <c r="E49" s="2" t="s">
        <v>159</v>
      </c>
      <c r="F49" s="2" t="s">
        <v>160</v>
      </c>
      <c r="G49" s="2" t="s">
        <v>161</v>
      </c>
      <c r="H49" s="3"/>
      <c r="I49" s="3"/>
    </row>
    <row r="50" spans="1:9" ht="15.75" customHeight="1" x14ac:dyDescent="0.2">
      <c r="A50" s="13"/>
      <c r="B50" s="13"/>
      <c r="C50" s="2" t="s">
        <v>162</v>
      </c>
      <c r="D50" s="2" t="s">
        <v>163</v>
      </c>
      <c r="E50" s="2" t="s">
        <v>164</v>
      </c>
      <c r="F50" s="2" t="s">
        <v>165</v>
      </c>
      <c r="G50" s="2" t="s">
        <v>54</v>
      </c>
      <c r="H50" s="3"/>
      <c r="I50" s="3"/>
    </row>
    <row r="51" spans="1:9" ht="15.75" customHeight="1" x14ac:dyDescent="0.2">
      <c r="A51" s="13"/>
      <c r="B51" s="13"/>
      <c r="C51" s="1" t="s">
        <v>166</v>
      </c>
      <c r="D51" s="1" t="s">
        <v>167</v>
      </c>
      <c r="E51" s="1" t="s">
        <v>168</v>
      </c>
      <c r="F51" s="1" t="s">
        <v>169</v>
      </c>
      <c r="G51" s="1" t="s">
        <v>170</v>
      </c>
      <c r="H51" s="3"/>
      <c r="I51" s="3"/>
    </row>
    <row r="52" spans="1:9" ht="15.75" customHeight="1" x14ac:dyDescent="0.2">
      <c r="A52" s="13"/>
      <c r="B52" s="13"/>
      <c r="C52" s="1"/>
      <c r="D52" s="1"/>
      <c r="E52" s="1"/>
      <c r="F52" s="1"/>
      <c r="G52" s="1"/>
      <c r="H52" s="3"/>
      <c r="I52" s="3"/>
    </row>
    <row r="53" spans="1:9" ht="15.75" customHeight="1" x14ac:dyDescent="0.2">
      <c r="A53" s="13"/>
      <c r="B53" s="13"/>
      <c r="C53" s="1" t="s">
        <v>19</v>
      </c>
      <c r="D53" s="1" t="s">
        <v>19</v>
      </c>
      <c r="E53" s="1" t="s">
        <v>42</v>
      </c>
      <c r="F53" s="1" t="s">
        <v>171</v>
      </c>
      <c r="G53" s="1" t="s">
        <v>42</v>
      </c>
      <c r="H53" s="3"/>
      <c r="I53" s="3"/>
    </row>
    <row r="54" spans="1:9" ht="15.75" customHeight="1" x14ac:dyDescent="0.2">
      <c r="A54" s="13"/>
      <c r="B54" s="14"/>
      <c r="C54" s="4" t="s">
        <v>101</v>
      </c>
      <c r="D54" s="4" t="s">
        <v>101</v>
      </c>
      <c r="E54" s="4"/>
      <c r="F54" s="4" t="s">
        <v>101</v>
      </c>
      <c r="G54" s="4"/>
      <c r="H54" s="5"/>
      <c r="I54" s="5"/>
    </row>
    <row r="55" spans="1:9" ht="15.75" customHeight="1" x14ac:dyDescent="0.2">
      <c r="A55" s="13"/>
      <c r="B55" s="12" t="s">
        <v>172</v>
      </c>
      <c r="C55" s="2" t="s">
        <v>173</v>
      </c>
      <c r="D55" s="2" t="s">
        <v>174</v>
      </c>
      <c r="E55" s="2" t="s">
        <v>175</v>
      </c>
      <c r="F55" s="2" t="s">
        <v>176</v>
      </c>
      <c r="G55" s="2" t="s">
        <v>177</v>
      </c>
      <c r="H55" s="2" t="s">
        <v>178</v>
      </c>
      <c r="I55" s="2" t="s">
        <v>179</v>
      </c>
    </row>
    <row r="56" spans="1:9" ht="12.75" x14ac:dyDescent="0.2">
      <c r="A56" s="13"/>
      <c r="B56" s="13"/>
      <c r="C56" s="2" t="s">
        <v>180</v>
      </c>
      <c r="D56" s="2" t="s">
        <v>181</v>
      </c>
      <c r="E56" s="2" t="s">
        <v>182</v>
      </c>
      <c r="F56" s="2" t="s">
        <v>183</v>
      </c>
      <c r="G56" s="2" t="s">
        <v>184</v>
      </c>
      <c r="H56" s="2" t="s">
        <v>185</v>
      </c>
      <c r="I56" s="2" t="s">
        <v>186</v>
      </c>
    </row>
    <row r="57" spans="1:9" ht="51" x14ac:dyDescent="0.2">
      <c r="A57" s="13"/>
      <c r="B57" s="13"/>
      <c r="C57" s="1" t="s">
        <v>187</v>
      </c>
      <c r="D57" s="1" t="s">
        <v>188</v>
      </c>
      <c r="E57" s="1" t="s">
        <v>189</v>
      </c>
      <c r="F57" s="1" t="s">
        <v>190</v>
      </c>
      <c r="G57" s="1" t="s">
        <v>191</v>
      </c>
      <c r="H57" s="1" t="s">
        <v>192</v>
      </c>
      <c r="I57" s="1" t="s">
        <v>193</v>
      </c>
    </row>
    <row r="58" spans="1:9" ht="12.75" x14ac:dyDescent="0.2">
      <c r="A58" s="13"/>
      <c r="B58" s="13"/>
      <c r="C58" s="1"/>
      <c r="D58" s="1"/>
      <c r="E58" s="1"/>
      <c r="F58" s="1"/>
      <c r="G58" s="1"/>
      <c r="H58" s="1"/>
      <c r="I58" s="1"/>
    </row>
    <row r="59" spans="1:9" ht="12.75" x14ac:dyDescent="0.2">
      <c r="A59" s="13"/>
      <c r="B59" s="13"/>
      <c r="C59" s="1" t="s">
        <v>42</v>
      </c>
      <c r="D59" s="1" t="s">
        <v>42</v>
      </c>
      <c r="E59" s="1" t="s">
        <v>194</v>
      </c>
      <c r="F59" s="1" t="s">
        <v>195</v>
      </c>
      <c r="G59" s="1" t="s">
        <v>196</v>
      </c>
      <c r="H59" s="1" t="s">
        <v>197</v>
      </c>
      <c r="I59" s="1" t="s">
        <v>42</v>
      </c>
    </row>
    <row r="60" spans="1:9" ht="12.75" x14ac:dyDescent="0.2">
      <c r="A60" s="13"/>
      <c r="B60" s="14"/>
      <c r="C60" s="4"/>
      <c r="D60" s="4"/>
      <c r="E60" s="4" t="s">
        <v>121</v>
      </c>
      <c r="F60" s="4"/>
      <c r="G60" s="4"/>
      <c r="H60" s="4" t="s">
        <v>198</v>
      </c>
      <c r="I60" s="4"/>
    </row>
    <row r="61" spans="1:9" ht="12.75" x14ac:dyDescent="0.2">
      <c r="A61" s="13"/>
      <c r="B61" s="12" t="s">
        <v>199</v>
      </c>
      <c r="C61" s="1"/>
      <c r="D61" s="1"/>
      <c r="E61" s="1"/>
      <c r="F61" s="1"/>
      <c r="G61" s="1"/>
      <c r="H61" s="1"/>
      <c r="I61" s="1"/>
    </row>
    <row r="62" spans="1:9" ht="12.75" x14ac:dyDescent="0.2">
      <c r="A62" s="13"/>
      <c r="B62" s="13"/>
      <c r="C62" s="1"/>
      <c r="D62" s="1"/>
      <c r="E62" s="1"/>
      <c r="F62" s="1"/>
      <c r="G62" s="1"/>
      <c r="H62" s="1"/>
      <c r="I62" s="1"/>
    </row>
    <row r="63" spans="1:9" ht="12.75" x14ac:dyDescent="0.2">
      <c r="A63" s="13"/>
      <c r="B63" s="13"/>
      <c r="C63" s="1"/>
      <c r="D63" s="1"/>
      <c r="E63" s="1"/>
      <c r="F63" s="1"/>
      <c r="G63" s="1"/>
      <c r="H63" s="1"/>
      <c r="I63" s="1"/>
    </row>
    <row r="64" spans="1:9" ht="12.75" x14ac:dyDescent="0.2">
      <c r="A64" s="13"/>
      <c r="B64" s="13"/>
      <c r="C64" s="1"/>
      <c r="D64" s="1"/>
      <c r="E64" s="1"/>
      <c r="F64" s="1"/>
      <c r="G64" s="1"/>
      <c r="H64" s="1"/>
      <c r="I64" s="1"/>
    </row>
    <row r="65" spans="1:9" ht="12.75" x14ac:dyDescent="0.2">
      <c r="A65" s="13"/>
      <c r="B65" s="13"/>
      <c r="C65" s="1"/>
      <c r="D65" s="1"/>
      <c r="E65" s="1"/>
      <c r="F65" s="1"/>
      <c r="G65" s="1"/>
      <c r="H65" s="1"/>
      <c r="I65" s="1"/>
    </row>
    <row r="66" spans="1:9" ht="12.75" x14ac:dyDescent="0.2">
      <c r="A66" s="13"/>
      <c r="B66" s="14"/>
      <c r="C66" s="4"/>
      <c r="D66" s="4"/>
      <c r="E66" s="4"/>
      <c r="F66" s="4"/>
      <c r="G66" s="4"/>
      <c r="H66" s="4"/>
      <c r="I66" s="4"/>
    </row>
    <row r="67" spans="1:9" ht="12.75" x14ac:dyDescent="0.2">
      <c r="A67" s="13"/>
      <c r="B67" s="12" t="s">
        <v>200</v>
      </c>
      <c r="C67" s="1"/>
      <c r="D67" s="1"/>
      <c r="E67" s="1"/>
      <c r="F67" s="1"/>
      <c r="G67" s="1"/>
      <c r="H67" s="1"/>
      <c r="I67" s="1"/>
    </row>
    <row r="68" spans="1:9" ht="12.75" x14ac:dyDescent="0.2">
      <c r="A68" s="13"/>
      <c r="B68" s="13"/>
      <c r="C68" s="1"/>
      <c r="D68" s="1"/>
      <c r="E68" s="1"/>
      <c r="F68" s="1"/>
      <c r="G68" s="1"/>
      <c r="H68" s="1"/>
      <c r="I68" s="1"/>
    </row>
    <row r="69" spans="1:9" ht="12.75" x14ac:dyDescent="0.2">
      <c r="A69" s="13"/>
      <c r="B69" s="13"/>
      <c r="C69" s="1"/>
      <c r="D69" s="1"/>
      <c r="E69" s="1"/>
      <c r="F69" s="1"/>
      <c r="G69" s="1"/>
      <c r="H69" s="1"/>
      <c r="I69" s="1"/>
    </row>
    <row r="70" spans="1:9" ht="12.75" x14ac:dyDescent="0.2">
      <c r="A70" s="13"/>
      <c r="B70" s="13"/>
      <c r="C70" s="1"/>
      <c r="D70" s="1"/>
      <c r="E70" s="1"/>
      <c r="F70" s="1"/>
      <c r="G70" s="1"/>
      <c r="H70" s="1"/>
      <c r="I70" s="1"/>
    </row>
    <row r="71" spans="1:9" ht="12.75" x14ac:dyDescent="0.2">
      <c r="A71" s="13"/>
      <c r="B71" s="13"/>
      <c r="C71" s="1"/>
      <c r="D71" s="1"/>
      <c r="E71" s="1"/>
      <c r="F71" s="1"/>
      <c r="G71" s="1"/>
      <c r="H71" s="1"/>
      <c r="I71" s="1"/>
    </row>
    <row r="72" spans="1:9" ht="12.75" x14ac:dyDescent="0.2">
      <c r="A72" s="13"/>
      <c r="B72" s="14"/>
      <c r="C72" s="4"/>
      <c r="D72" s="4"/>
      <c r="E72" s="4"/>
      <c r="F72" s="4"/>
      <c r="G72" s="4"/>
      <c r="H72" s="4"/>
      <c r="I72" s="4"/>
    </row>
    <row r="73" spans="1:9" ht="12.75" x14ac:dyDescent="0.2">
      <c r="A73" s="12" t="s">
        <v>201</v>
      </c>
      <c r="B73" s="12" t="s">
        <v>201</v>
      </c>
      <c r="C73" s="2"/>
      <c r="D73" s="1"/>
      <c r="E73" s="1"/>
      <c r="F73" s="1"/>
      <c r="G73" s="1"/>
      <c r="H73" s="1"/>
      <c r="I73" s="1"/>
    </row>
    <row r="74" spans="1:9" ht="12.75" x14ac:dyDescent="0.2">
      <c r="A74" s="13"/>
      <c r="B74" s="13"/>
      <c r="C74" s="2"/>
      <c r="D74" s="1"/>
      <c r="E74" s="1"/>
      <c r="F74" s="1"/>
      <c r="G74" s="1"/>
      <c r="H74" s="1"/>
      <c r="I74" s="1"/>
    </row>
    <row r="75" spans="1:9" ht="12.75" x14ac:dyDescent="0.2">
      <c r="A75" s="13"/>
      <c r="B75" s="13"/>
      <c r="C75" s="1"/>
      <c r="D75" s="1"/>
      <c r="E75" s="1"/>
      <c r="F75" s="1"/>
      <c r="G75" s="1"/>
      <c r="H75" s="1"/>
      <c r="I75" s="1"/>
    </row>
    <row r="76" spans="1:9" ht="12.75" x14ac:dyDescent="0.2">
      <c r="A76" s="13"/>
      <c r="B76" s="13"/>
      <c r="C76" s="1"/>
      <c r="D76" s="1"/>
      <c r="E76" s="1"/>
      <c r="F76" s="1"/>
      <c r="G76" s="1"/>
      <c r="H76" s="1"/>
      <c r="I76" s="1"/>
    </row>
    <row r="77" spans="1:9" ht="12.75" x14ac:dyDescent="0.2">
      <c r="A77" s="13"/>
      <c r="B77" s="13"/>
      <c r="C77" s="1"/>
      <c r="D77" s="1"/>
      <c r="E77" s="1"/>
      <c r="F77" s="1"/>
      <c r="G77" s="1"/>
      <c r="H77" s="1"/>
      <c r="I77" s="1"/>
    </row>
    <row r="78" spans="1:9" ht="12.75" x14ac:dyDescent="0.2">
      <c r="A78" s="13"/>
      <c r="B78" s="14"/>
      <c r="C78" s="4"/>
      <c r="D78" s="4"/>
      <c r="E78" s="4"/>
      <c r="F78" s="4"/>
      <c r="G78" s="4"/>
      <c r="H78" s="4"/>
      <c r="I78" s="4"/>
    </row>
    <row r="79" spans="1:9" ht="12.75" x14ac:dyDescent="0.2">
      <c r="A79" s="13"/>
      <c r="B79" s="12" t="s">
        <v>202</v>
      </c>
      <c r="C79" s="1"/>
      <c r="D79" s="1"/>
      <c r="E79" s="1"/>
      <c r="F79" s="1"/>
      <c r="G79" s="1"/>
      <c r="H79" s="1"/>
      <c r="I79" s="1"/>
    </row>
    <row r="80" spans="1:9" ht="12.75" x14ac:dyDescent="0.2">
      <c r="A80" s="13"/>
      <c r="B80" s="13"/>
      <c r="C80" s="1"/>
      <c r="D80" s="1"/>
      <c r="E80" s="1"/>
      <c r="F80" s="1"/>
      <c r="G80" s="1"/>
      <c r="H80" s="1"/>
      <c r="I80" s="1"/>
    </row>
    <row r="81" spans="1:9" ht="12.75" x14ac:dyDescent="0.2">
      <c r="A81" s="13"/>
      <c r="B81" s="13"/>
      <c r="C81" s="1"/>
      <c r="D81" s="1"/>
      <c r="E81" s="1"/>
      <c r="F81" s="1"/>
      <c r="G81" s="1"/>
      <c r="H81" s="1"/>
      <c r="I81" s="1"/>
    </row>
    <row r="82" spans="1:9" ht="12.75" x14ac:dyDescent="0.2">
      <c r="A82" s="13"/>
      <c r="B82" s="13"/>
      <c r="C82" s="1"/>
      <c r="D82" s="1"/>
      <c r="E82" s="1"/>
      <c r="F82" s="1"/>
      <c r="G82" s="1"/>
      <c r="H82" s="1"/>
      <c r="I82" s="1"/>
    </row>
    <row r="83" spans="1:9" ht="12.75" x14ac:dyDescent="0.2">
      <c r="A83" s="13"/>
      <c r="B83" s="13"/>
      <c r="C83" s="1"/>
      <c r="D83" s="1"/>
      <c r="E83" s="1"/>
      <c r="F83" s="1"/>
      <c r="G83" s="1"/>
      <c r="H83" s="1"/>
      <c r="I83" s="1"/>
    </row>
    <row r="84" spans="1:9" ht="12.75" x14ac:dyDescent="0.2">
      <c r="A84" s="13"/>
      <c r="B84" s="14"/>
      <c r="C84" s="4"/>
      <c r="D84" s="4"/>
      <c r="E84" s="4"/>
      <c r="F84" s="4"/>
      <c r="G84" s="4"/>
      <c r="H84" s="4"/>
      <c r="I84" s="4"/>
    </row>
    <row r="85" spans="1:9" ht="12.75" x14ac:dyDescent="0.2">
      <c r="A85" s="13"/>
      <c r="B85" s="12" t="s">
        <v>203</v>
      </c>
      <c r="C85" s="1"/>
      <c r="D85" s="1"/>
      <c r="E85" s="1"/>
      <c r="F85" s="1"/>
      <c r="G85" s="1"/>
      <c r="H85" s="1"/>
      <c r="I85" s="1"/>
    </row>
    <row r="86" spans="1:9" ht="12.75" x14ac:dyDescent="0.2">
      <c r="A86" s="13"/>
      <c r="B86" s="13"/>
      <c r="C86" s="1"/>
      <c r="D86" s="1"/>
      <c r="E86" s="1"/>
      <c r="F86" s="1"/>
      <c r="G86" s="1"/>
      <c r="H86" s="1"/>
      <c r="I86" s="1"/>
    </row>
    <row r="87" spans="1:9" ht="12.75" x14ac:dyDescent="0.2">
      <c r="A87" s="13"/>
      <c r="B87" s="13"/>
      <c r="C87" s="1"/>
      <c r="D87" s="1"/>
      <c r="E87" s="1"/>
      <c r="F87" s="1"/>
      <c r="G87" s="1"/>
      <c r="H87" s="1"/>
      <c r="I87" s="1"/>
    </row>
    <row r="88" spans="1:9" ht="12.75" x14ac:dyDescent="0.2">
      <c r="A88" s="13"/>
      <c r="B88" s="13"/>
      <c r="C88" s="1"/>
      <c r="D88" s="1"/>
      <c r="E88" s="1"/>
      <c r="F88" s="1"/>
      <c r="G88" s="1"/>
      <c r="H88" s="1"/>
      <c r="I88" s="1"/>
    </row>
    <row r="89" spans="1:9" ht="12.75" x14ac:dyDescent="0.2">
      <c r="A89" s="13"/>
      <c r="B89" s="13"/>
      <c r="C89" s="1"/>
      <c r="D89" s="1"/>
      <c r="E89" s="1"/>
      <c r="F89" s="1"/>
      <c r="G89" s="1"/>
      <c r="H89" s="1"/>
      <c r="I89" s="1"/>
    </row>
    <row r="90" spans="1:9" ht="12.75" x14ac:dyDescent="0.2">
      <c r="A90" s="13"/>
      <c r="B90" s="14"/>
      <c r="C90" s="4"/>
      <c r="D90" s="4"/>
      <c r="E90" s="4"/>
      <c r="F90" s="4"/>
      <c r="G90" s="4"/>
      <c r="H90" s="4"/>
      <c r="I90" s="4"/>
    </row>
    <row r="91" spans="1:9" ht="12.75" x14ac:dyDescent="0.2">
      <c r="A91" s="13"/>
      <c r="B91" s="12" t="s">
        <v>204</v>
      </c>
      <c r="C91" s="1"/>
      <c r="D91" s="1"/>
      <c r="E91" s="1"/>
      <c r="F91" s="1"/>
      <c r="G91" s="1"/>
      <c r="H91" s="1"/>
      <c r="I91" s="1"/>
    </row>
    <row r="92" spans="1:9" ht="12.75" x14ac:dyDescent="0.2">
      <c r="A92" s="13"/>
      <c r="B92" s="13"/>
      <c r="C92" s="1"/>
      <c r="D92" s="1"/>
      <c r="E92" s="1"/>
      <c r="F92" s="1"/>
      <c r="G92" s="1"/>
      <c r="H92" s="1"/>
      <c r="I92" s="1"/>
    </row>
    <row r="93" spans="1:9" ht="12.75" x14ac:dyDescent="0.2">
      <c r="A93" s="13"/>
      <c r="B93" s="13"/>
      <c r="C93" s="1"/>
      <c r="D93" s="1"/>
      <c r="E93" s="1"/>
      <c r="F93" s="1"/>
      <c r="G93" s="1"/>
      <c r="H93" s="1"/>
      <c r="I93" s="1"/>
    </row>
    <row r="94" spans="1:9" ht="12.75" x14ac:dyDescent="0.2">
      <c r="A94" s="13"/>
      <c r="B94" s="13"/>
      <c r="C94" s="1"/>
      <c r="D94" s="1"/>
      <c r="E94" s="1"/>
      <c r="F94" s="1"/>
      <c r="G94" s="1"/>
      <c r="H94" s="1"/>
      <c r="I94" s="1"/>
    </row>
    <row r="95" spans="1:9" ht="12.75" x14ac:dyDescent="0.2">
      <c r="A95" s="13"/>
      <c r="B95" s="13"/>
      <c r="C95" s="1"/>
      <c r="D95" s="1"/>
      <c r="E95" s="1"/>
      <c r="F95" s="1"/>
      <c r="G95" s="1"/>
      <c r="H95" s="1"/>
      <c r="I95" s="1"/>
    </row>
    <row r="96" spans="1:9" ht="12.75" x14ac:dyDescent="0.2">
      <c r="A96" s="13"/>
      <c r="B96" s="14"/>
      <c r="C96" s="4"/>
      <c r="D96" s="4"/>
      <c r="E96" s="4"/>
      <c r="F96" s="4"/>
      <c r="G96" s="4"/>
      <c r="H96" s="4"/>
      <c r="I96" s="4"/>
    </row>
    <row r="97" spans="1:9" ht="12.75" x14ac:dyDescent="0.2">
      <c r="A97" s="12" t="s">
        <v>205</v>
      </c>
      <c r="B97" s="12" t="s">
        <v>205</v>
      </c>
      <c r="C97" s="2"/>
      <c r="D97" s="1"/>
      <c r="E97" s="1"/>
      <c r="F97" s="1"/>
      <c r="G97" s="1"/>
      <c r="H97" s="1"/>
      <c r="I97" s="1"/>
    </row>
    <row r="98" spans="1:9" ht="12.75" x14ac:dyDescent="0.2">
      <c r="A98" s="13"/>
      <c r="B98" s="13"/>
      <c r="C98" s="2"/>
      <c r="D98" s="1"/>
      <c r="E98" s="1"/>
      <c r="F98" s="1"/>
      <c r="G98" s="1"/>
      <c r="H98" s="1"/>
      <c r="I98" s="1"/>
    </row>
    <row r="99" spans="1:9" ht="12.75" x14ac:dyDescent="0.2">
      <c r="A99" s="13"/>
      <c r="B99" s="13"/>
      <c r="C99" s="1"/>
      <c r="D99" s="1"/>
      <c r="E99" s="1"/>
      <c r="F99" s="1"/>
      <c r="G99" s="1"/>
      <c r="H99" s="1"/>
      <c r="I99" s="1"/>
    </row>
    <row r="100" spans="1:9" ht="12.75" x14ac:dyDescent="0.2">
      <c r="A100" s="13"/>
      <c r="B100" s="13"/>
      <c r="C100" s="1"/>
      <c r="D100" s="1"/>
      <c r="E100" s="1"/>
      <c r="F100" s="1"/>
      <c r="G100" s="1"/>
      <c r="H100" s="1"/>
      <c r="I100" s="1"/>
    </row>
    <row r="101" spans="1:9" ht="12.75" x14ac:dyDescent="0.2">
      <c r="A101" s="13"/>
      <c r="B101" s="13"/>
      <c r="C101" s="1"/>
      <c r="D101" s="1"/>
      <c r="E101" s="1"/>
      <c r="F101" s="1"/>
      <c r="G101" s="1"/>
      <c r="H101" s="1"/>
      <c r="I101" s="1"/>
    </row>
    <row r="102" spans="1:9" ht="12.75" x14ac:dyDescent="0.2">
      <c r="A102" s="13"/>
      <c r="B102" s="14"/>
      <c r="C102" s="4"/>
      <c r="D102" s="4"/>
      <c r="E102" s="4"/>
      <c r="F102" s="4"/>
      <c r="G102" s="4"/>
      <c r="H102" s="4"/>
      <c r="I102" s="4"/>
    </row>
    <row r="103" spans="1:9" ht="12.75" x14ac:dyDescent="0.2">
      <c r="A103" s="13"/>
      <c r="B103" s="12" t="s">
        <v>206</v>
      </c>
      <c r="C103" s="1"/>
      <c r="D103" s="1"/>
      <c r="E103" s="1"/>
      <c r="F103" s="1"/>
      <c r="G103" s="1"/>
      <c r="H103" s="1"/>
      <c r="I103" s="1"/>
    </row>
    <row r="104" spans="1:9" ht="12.75" x14ac:dyDescent="0.2">
      <c r="A104" s="13"/>
      <c r="B104" s="13"/>
      <c r="C104" s="1"/>
      <c r="D104" s="1"/>
      <c r="E104" s="1"/>
      <c r="F104" s="1"/>
      <c r="G104" s="1"/>
      <c r="H104" s="1"/>
      <c r="I104" s="1"/>
    </row>
    <row r="105" spans="1:9" ht="12.75" x14ac:dyDescent="0.2">
      <c r="A105" s="13"/>
      <c r="B105" s="13"/>
      <c r="C105" s="1"/>
      <c r="D105" s="1"/>
      <c r="E105" s="1"/>
      <c r="F105" s="1"/>
      <c r="G105" s="1"/>
      <c r="H105" s="1"/>
      <c r="I105" s="1"/>
    </row>
    <row r="106" spans="1:9" ht="12.75" x14ac:dyDescent="0.2">
      <c r="A106" s="13"/>
      <c r="B106" s="13"/>
      <c r="C106" s="1"/>
      <c r="D106" s="1"/>
      <c r="E106" s="1"/>
      <c r="F106" s="1"/>
      <c r="G106" s="1"/>
      <c r="H106" s="1"/>
      <c r="I106" s="1"/>
    </row>
    <row r="107" spans="1:9" ht="12.75" x14ac:dyDescent="0.2">
      <c r="A107" s="13"/>
      <c r="B107" s="13"/>
      <c r="C107" s="1"/>
      <c r="D107" s="1"/>
      <c r="E107" s="1"/>
      <c r="F107" s="1"/>
      <c r="G107" s="1"/>
      <c r="H107" s="1"/>
      <c r="I107" s="1"/>
    </row>
    <row r="108" spans="1:9" ht="12.75" x14ac:dyDescent="0.2">
      <c r="A108" s="13"/>
      <c r="B108" s="14"/>
      <c r="C108" s="4"/>
      <c r="D108" s="4"/>
      <c r="E108" s="4"/>
      <c r="F108" s="4"/>
      <c r="G108" s="4"/>
      <c r="H108" s="4"/>
      <c r="I108" s="4"/>
    </row>
    <row r="109" spans="1:9" ht="12.75" x14ac:dyDescent="0.2">
      <c r="A109" s="13"/>
      <c r="B109" s="12" t="s">
        <v>207</v>
      </c>
      <c r="C109" s="1"/>
      <c r="D109" s="1"/>
      <c r="E109" s="1"/>
      <c r="F109" s="1"/>
      <c r="G109" s="1"/>
      <c r="H109" s="1"/>
      <c r="I109" s="1"/>
    </row>
    <row r="110" spans="1:9" ht="12.75" x14ac:dyDescent="0.2">
      <c r="A110" s="13"/>
      <c r="B110" s="13"/>
      <c r="C110" s="1"/>
      <c r="D110" s="1"/>
      <c r="E110" s="1"/>
      <c r="F110" s="1"/>
      <c r="G110" s="1"/>
      <c r="H110" s="1"/>
      <c r="I110" s="1"/>
    </row>
    <row r="111" spans="1:9" ht="12.75" x14ac:dyDescent="0.2">
      <c r="A111" s="13"/>
      <c r="B111" s="13"/>
      <c r="C111" s="1"/>
      <c r="D111" s="1"/>
      <c r="E111" s="1"/>
      <c r="F111" s="1"/>
      <c r="G111" s="1"/>
      <c r="H111" s="1"/>
      <c r="I111" s="1"/>
    </row>
    <row r="112" spans="1:9" ht="12.75" x14ac:dyDescent="0.2">
      <c r="A112" s="13"/>
      <c r="B112" s="13"/>
      <c r="C112" s="1"/>
      <c r="D112" s="1"/>
      <c r="E112" s="1"/>
      <c r="F112" s="1"/>
      <c r="G112" s="1"/>
      <c r="H112" s="1"/>
      <c r="I112" s="1"/>
    </row>
    <row r="113" spans="1:9" ht="12.75" x14ac:dyDescent="0.2">
      <c r="A113" s="13"/>
      <c r="B113" s="13"/>
      <c r="C113" s="1"/>
      <c r="D113" s="1"/>
      <c r="E113" s="1"/>
      <c r="F113" s="1"/>
      <c r="G113" s="1"/>
      <c r="H113" s="1"/>
      <c r="I113" s="1"/>
    </row>
    <row r="114" spans="1:9" ht="12.75" x14ac:dyDescent="0.2">
      <c r="A114" s="13"/>
      <c r="B114" s="14"/>
      <c r="C114" s="4"/>
      <c r="D114" s="4"/>
      <c r="E114" s="4"/>
      <c r="F114" s="4"/>
      <c r="G114" s="4"/>
      <c r="H114" s="4"/>
      <c r="I114" s="4"/>
    </row>
    <row r="115" spans="1:9" ht="12.75" x14ac:dyDescent="0.2">
      <c r="A115" s="13"/>
      <c r="B115" s="12" t="s">
        <v>208</v>
      </c>
      <c r="C115" s="1"/>
      <c r="D115" s="1"/>
      <c r="E115" s="1"/>
      <c r="F115" s="1"/>
      <c r="G115" s="1"/>
      <c r="H115" s="1"/>
      <c r="I115" s="1"/>
    </row>
    <row r="116" spans="1:9" ht="12.75" x14ac:dyDescent="0.2">
      <c r="A116" s="13"/>
      <c r="B116" s="13"/>
      <c r="C116" s="1"/>
      <c r="D116" s="1"/>
      <c r="E116" s="1"/>
      <c r="F116" s="1"/>
      <c r="G116" s="1"/>
      <c r="H116" s="1"/>
      <c r="I116" s="1"/>
    </row>
    <row r="117" spans="1:9" ht="12.75" x14ac:dyDescent="0.2">
      <c r="A117" s="13"/>
      <c r="B117" s="13"/>
      <c r="C117" s="1"/>
      <c r="D117" s="1"/>
      <c r="E117" s="1"/>
      <c r="F117" s="1"/>
      <c r="G117" s="1"/>
      <c r="H117" s="1"/>
      <c r="I117" s="1"/>
    </row>
    <row r="118" spans="1:9" ht="12.75" x14ac:dyDescent="0.2">
      <c r="A118" s="13"/>
      <c r="B118" s="13"/>
      <c r="C118" s="1"/>
      <c r="D118" s="1"/>
      <c r="E118" s="1"/>
      <c r="F118" s="1"/>
      <c r="G118" s="1"/>
      <c r="H118" s="1"/>
      <c r="I118" s="1"/>
    </row>
    <row r="119" spans="1:9" ht="12.75" x14ac:dyDescent="0.2">
      <c r="A119" s="13"/>
      <c r="B119" s="13"/>
      <c r="C119" s="1"/>
      <c r="D119" s="1"/>
      <c r="E119" s="1"/>
      <c r="F119" s="1"/>
      <c r="G119" s="1"/>
      <c r="H119" s="1"/>
      <c r="I119" s="1"/>
    </row>
    <row r="120" spans="1:9" ht="12.75" x14ac:dyDescent="0.2">
      <c r="A120" s="13"/>
      <c r="B120" s="14"/>
      <c r="C120" s="4"/>
      <c r="D120" s="4"/>
      <c r="E120" s="4"/>
      <c r="F120" s="4"/>
      <c r="G120" s="4"/>
      <c r="H120" s="4"/>
      <c r="I120" s="4"/>
    </row>
  </sheetData>
  <mergeCells count="26">
    <mergeCell ref="A97:A120"/>
    <mergeCell ref="B97:B102"/>
    <mergeCell ref="B103:B108"/>
    <mergeCell ref="B109:B114"/>
    <mergeCell ref="B115:B120"/>
    <mergeCell ref="B67:B72"/>
    <mergeCell ref="B73:B78"/>
    <mergeCell ref="B79:B84"/>
    <mergeCell ref="B85:B90"/>
    <mergeCell ref="A73:A96"/>
    <mergeCell ref="A49:A72"/>
    <mergeCell ref="B49:B54"/>
    <mergeCell ref="B55:B60"/>
    <mergeCell ref="B61:B66"/>
    <mergeCell ref="B91:B96"/>
    <mergeCell ref="B25:B30"/>
    <mergeCell ref="B31:B36"/>
    <mergeCell ref="A1:A24"/>
    <mergeCell ref="B1:B6"/>
    <mergeCell ref="H1:I6"/>
    <mergeCell ref="B7:B12"/>
    <mergeCell ref="B13:B18"/>
    <mergeCell ref="B19:B24"/>
    <mergeCell ref="A25:A48"/>
    <mergeCell ref="B37:B42"/>
    <mergeCell ref="B43:B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workbookViewId="0"/>
  </sheetViews>
  <sheetFormatPr defaultColWidth="12.5703125" defaultRowHeight="15.75" customHeight="1" x14ac:dyDescent="0.2"/>
  <cols>
    <col min="1" max="1" width="16.42578125" customWidth="1"/>
    <col min="2" max="2" width="6.140625" customWidth="1"/>
    <col min="3" max="23" width="5.42578125" customWidth="1"/>
    <col min="24" max="24" width="7.85546875" customWidth="1"/>
    <col min="25" max="26" width="5.42578125" customWidth="1"/>
  </cols>
  <sheetData>
    <row r="1" spans="1:25" ht="28.5" customHeight="1" x14ac:dyDescent="0.2">
      <c r="A1" s="7" t="s">
        <v>209</v>
      </c>
      <c r="B1" s="8" t="b">
        <v>1</v>
      </c>
      <c r="X1" s="6" t="s">
        <v>210</v>
      </c>
      <c r="Y1" s="8">
        <v>10</v>
      </c>
    </row>
    <row r="2" spans="1:25" ht="28.5" customHeight="1" x14ac:dyDescent="0.2">
      <c r="B2" s="9">
        <f t="shared" ref="B2:W2" si="0">SQRT((ROW($M$12)-ROW(B2))^2+(COLUMN($M$12)-COLUMN(B2))^2)</f>
        <v>14.866068747318506</v>
      </c>
      <c r="C2" s="9">
        <f t="shared" si="0"/>
        <v>14.142135623730951</v>
      </c>
      <c r="D2" s="9">
        <f t="shared" si="0"/>
        <v>13.45362404707371</v>
      </c>
      <c r="E2" s="9">
        <f t="shared" si="0"/>
        <v>12.806248474865697</v>
      </c>
      <c r="F2" s="9">
        <f t="shared" si="0"/>
        <v>12.206555615733702</v>
      </c>
      <c r="G2" s="9">
        <f t="shared" si="0"/>
        <v>11.661903789690601</v>
      </c>
      <c r="H2" s="9">
        <f t="shared" si="0"/>
        <v>11.180339887498949</v>
      </c>
      <c r="I2" s="9">
        <f t="shared" si="0"/>
        <v>10.770329614269007</v>
      </c>
      <c r="J2" s="9">
        <f t="shared" si="0"/>
        <v>10.440306508910551</v>
      </c>
      <c r="K2" s="9">
        <f t="shared" si="0"/>
        <v>10.198039027185569</v>
      </c>
      <c r="L2" s="9">
        <f t="shared" si="0"/>
        <v>10.04987562112089</v>
      </c>
      <c r="M2" s="9">
        <f t="shared" si="0"/>
        <v>10</v>
      </c>
      <c r="N2" s="9">
        <f t="shared" si="0"/>
        <v>10.04987562112089</v>
      </c>
      <c r="O2" s="9">
        <f t="shared" si="0"/>
        <v>10.198039027185569</v>
      </c>
      <c r="P2" s="9">
        <f t="shared" si="0"/>
        <v>10.440306508910551</v>
      </c>
      <c r="Q2" s="9">
        <f t="shared" si="0"/>
        <v>10.770329614269007</v>
      </c>
      <c r="R2" s="9">
        <f t="shared" si="0"/>
        <v>11.180339887498949</v>
      </c>
      <c r="S2" s="9">
        <f t="shared" si="0"/>
        <v>11.661903789690601</v>
      </c>
      <c r="T2" s="9">
        <f t="shared" si="0"/>
        <v>12.206555615733702</v>
      </c>
      <c r="U2" s="9">
        <f t="shared" si="0"/>
        <v>12.806248474865697</v>
      </c>
      <c r="V2" s="9">
        <f t="shared" si="0"/>
        <v>13.45362404707371</v>
      </c>
      <c r="W2" s="9">
        <f t="shared" si="0"/>
        <v>14.142135623730951</v>
      </c>
      <c r="X2" s="10" t="s">
        <v>211</v>
      </c>
      <c r="Y2" s="10">
        <f>(SQRT(8*Y1+1)-1)/2</f>
        <v>4</v>
      </c>
    </row>
    <row r="3" spans="1:25" ht="28.5" customHeight="1" x14ac:dyDescent="0.2">
      <c r="B3" s="9">
        <f t="shared" ref="B3:W3" si="1">SQRT((ROW($M$12)-ROW(B3))^2+(COLUMN($M$12)-COLUMN(B3))^2)</f>
        <v>14.212670403551895</v>
      </c>
      <c r="C3" s="9">
        <f t="shared" si="1"/>
        <v>13.45362404707371</v>
      </c>
      <c r="D3" s="9">
        <f t="shared" si="1"/>
        <v>12.727922061357855</v>
      </c>
      <c r="E3" s="9">
        <f t="shared" si="1"/>
        <v>12.041594578792296</v>
      </c>
      <c r="F3" s="9">
        <f t="shared" si="1"/>
        <v>11.401754250991379</v>
      </c>
      <c r="G3" s="9">
        <f t="shared" si="1"/>
        <v>10.816653826391969</v>
      </c>
      <c r="H3" s="9">
        <f t="shared" si="1"/>
        <v>10.295630140987001</v>
      </c>
      <c r="I3" s="9">
        <f t="shared" si="1"/>
        <v>9.8488578017961039</v>
      </c>
      <c r="J3" s="9">
        <f t="shared" si="1"/>
        <v>9.4868329805051381</v>
      </c>
      <c r="K3" s="9">
        <f t="shared" si="1"/>
        <v>9.2195444572928871</v>
      </c>
      <c r="L3" s="9">
        <f t="shared" si="1"/>
        <v>9.0553851381374173</v>
      </c>
      <c r="M3" s="9">
        <f t="shared" si="1"/>
        <v>9</v>
      </c>
      <c r="N3" s="9">
        <f t="shared" si="1"/>
        <v>9.0553851381374173</v>
      </c>
      <c r="O3" s="9">
        <f t="shared" si="1"/>
        <v>9.2195444572928871</v>
      </c>
      <c r="P3" s="9">
        <f t="shared" si="1"/>
        <v>9.4868329805051381</v>
      </c>
      <c r="Q3" s="9">
        <f t="shared" si="1"/>
        <v>9.8488578017961039</v>
      </c>
      <c r="R3" s="9">
        <f t="shared" si="1"/>
        <v>10.295630140987001</v>
      </c>
      <c r="S3" s="9">
        <f t="shared" si="1"/>
        <v>10.816653826391969</v>
      </c>
      <c r="T3" s="9">
        <f t="shared" si="1"/>
        <v>11.401754250991379</v>
      </c>
      <c r="U3" s="9">
        <f t="shared" si="1"/>
        <v>12.041594578792296</v>
      </c>
      <c r="V3" s="9">
        <f t="shared" si="1"/>
        <v>12.727922061357855</v>
      </c>
      <c r="W3" s="9">
        <f t="shared" si="1"/>
        <v>13.45362404707371</v>
      </c>
      <c r="X3" s="6" t="s">
        <v>212</v>
      </c>
      <c r="Y3" s="8">
        <v>6</v>
      </c>
    </row>
    <row r="4" spans="1:25" ht="28.5" customHeight="1" x14ac:dyDescent="0.2">
      <c r="B4" s="9">
        <f t="shared" ref="B4:W4" si="2">SQRT((ROW($M$12)-ROW(B4))^2+(COLUMN($M$12)-COLUMN(B4))^2)</f>
        <v>13.601470508735444</v>
      </c>
      <c r="C4" s="9">
        <f t="shared" si="2"/>
        <v>12.806248474865697</v>
      </c>
      <c r="D4" s="9">
        <f t="shared" si="2"/>
        <v>12.041594578792296</v>
      </c>
      <c r="E4" s="9">
        <f t="shared" si="2"/>
        <v>11.313708498984761</v>
      </c>
      <c r="F4" s="9">
        <f t="shared" si="2"/>
        <v>10.63014581273465</v>
      </c>
      <c r="G4" s="9">
        <f t="shared" si="2"/>
        <v>10</v>
      </c>
      <c r="H4" s="9">
        <f t="shared" si="2"/>
        <v>9.4339811320566032</v>
      </c>
      <c r="I4" s="9">
        <f t="shared" si="2"/>
        <v>8.9442719099991592</v>
      </c>
      <c r="J4" s="9">
        <f t="shared" si="2"/>
        <v>8.5440037453175304</v>
      </c>
      <c r="K4" s="9">
        <f t="shared" si="2"/>
        <v>8.2462112512353212</v>
      </c>
      <c r="L4" s="9">
        <f t="shared" si="2"/>
        <v>8.0622577482985491</v>
      </c>
      <c r="M4" s="9">
        <f t="shared" si="2"/>
        <v>8</v>
      </c>
      <c r="N4" s="9">
        <f t="shared" si="2"/>
        <v>8.0622577482985491</v>
      </c>
      <c r="O4" s="9">
        <f t="shared" si="2"/>
        <v>8.2462112512353212</v>
      </c>
      <c r="P4" s="9">
        <f t="shared" si="2"/>
        <v>8.5440037453175304</v>
      </c>
      <c r="Q4" s="9">
        <f t="shared" si="2"/>
        <v>8.9442719099991592</v>
      </c>
      <c r="R4" s="9">
        <f t="shared" si="2"/>
        <v>9.4339811320566032</v>
      </c>
      <c r="S4" s="9">
        <f t="shared" si="2"/>
        <v>10</v>
      </c>
      <c r="T4" s="9">
        <f t="shared" si="2"/>
        <v>10.63014581273465</v>
      </c>
      <c r="U4" s="9">
        <f t="shared" si="2"/>
        <v>11.313708498984761</v>
      </c>
      <c r="V4" s="9">
        <f t="shared" si="2"/>
        <v>12.041594578792296</v>
      </c>
      <c r="W4" s="9">
        <f t="shared" si="2"/>
        <v>12.806248474865697</v>
      </c>
    </row>
    <row r="5" spans="1:25" ht="28.5" customHeight="1" x14ac:dyDescent="0.2">
      <c r="B5" s="9">
        <f t="shared" ref="B5:W5" si="3">SQRT((ROW($M$12)-ROW(B5))^2+(COLUMN($M$12)-COLUMN(B5))^2)</f>
        <v>13.038404810405298</v>
      </c>
      <c r="C5" s="9">
        <f t="shared" si="3"/>
        <v>12.206555615733702</v>
      </c>
      <c r="D5" s="9">
        <f t="shared" si="3"/>
        <v>11.401754250991379</v>
      </c>
      <c r="E5" s="9">
        <f t="shared" si="3"/>
        <v>10.63014581273465</v>
      </c>
      <c r="F5" s="9">
        <f t="shared" si="3"/>
        <v>9.8994949366116654</v>
      </c>
      <c r="G5" s="9">
        <f t="shared" si="3"/>
        <v>9.2195444572928871</v>
      </c>
      <c r="H5" s="9">
        <f t="shared" si="3"/>
        <v>8.6023252670426267</v>
      </c>
      <c r="I5" s="9">
        <f t="shared" si="3"/>
        <v>8.0622577482985491</v>
      </c>
      <c r="J5" s="9">
        <f t="shared" si="3"/>
        <v>7.6157731058639087</v>
      </c>
      <c r="K5" s="9">
        <f t="shared" si="3"/>
        <v>7.2801098892805181</v>
      </c>
      <c r="L5" s="9">
        <f t="shared" si="3"/>
        <v>7.0710678118654755</v>
      </c>
      <c r="M5" s="9">
        <f t="shared" si="3"/>
        <v>7</v>
      </c>
      <c r="N5" s="9">
        <f t="shared" si="3"/>
        <v>7.0710678118654755</v>
      </c>
      <c r="O5" s="9">
        <f t="shared" si="3"/>
        <v>7.2801098892805181</v>
      </c>
      <c r="P5" s="9">
        <f t="shared" si="3"/>
        <v>7.6157731058639087</v>
      </c>
      <c r="Q5" s="9">
        <f t="shared" si="3"/>
        <v>8.0622577482985491</v>
      </c>
      <c r="R5" s="9">
        <f t="shared" si="3"/>
        <v>8.6023252670426267</v>
      </c>
      <c r="S5" s="9">
        <f t="shared" si="3"/>
        <v>9.2195444572928871</v>
      </c>
      <c r="T5" s="9">
        <f t="shared" si="3"/>
        <v>9.8994949366116654</v>
      </c>
      <c r="U5" s="9">
        <f t="shared" si="3"/>
        <v>10.63014581273465</v>
      </c>
      <c r="V5" s="9">
        <f t="shared" si="3"/>
        <v>11.401754250991379</v>
      </c>
      <c r="W5" s="9">
        <f t="shared" si="3"/>
        <v>12.206555615733702</v>
      </c>
    </row>
    <row r="6" spans="1:25" ht="28.5" customHeight="1" x14ac:dyDescent="0.2">
      <c r="B6" s="9">
        <f t="shared" ref="B6:W6" si="4">SQRT((ROW($M$12)-ROW(B6))^2+(COLUMN($M$12)-COLUMN(B6))^2)</f>
        <v>12.529964086141668</v>
      </c>
      <c r="C6" s="9">
        <f t="shared" si="4"/>
        <v>11.661903789690601</v>
      </c>
      <c r="D6" s="9">
        <f t="shared" si="4"/>
        <v>10.816653826391969</v>
      </c>
      <c r="E6" s="9">
        <f t="shared" si="4"/>
        <v>10</v>
      </c>
      <c r="F6" s="9">
        <f t="shared" si="4"/>
        <v>9.2195444572928871</v>
      </c>
      <c r="G6" s="9">
        <f t="shared" si="4"/>
        <v>8.4852813742385695</v>
      </c>
      <c r="H6" s="9">
        <f t="shared" si="4"/>
        <v>7.810249675906654</v>
      </c>
      <c r="I6" s="9">
        <f t="shared" si="4"/>
        <v>7.2111025509279782</v>
      </c>
      <c r="J6" s="9">
        <f t="shared" si="4"/>
        <v>6.7082039324993694</v>
      </c>
      <c r="K6" s="9">
        <f t="shared" si="4"/>
        <v>6.324555320336759</v>
      </c>
      <c r="L6" s="9">
        <f t="shared" si="4"/>
        <v>6.0827625302982193</v>
      </c>
      <c r="M6" s="9">
        <f t="shared" si="4"/>
        <v>6</v>
      </c>
      <c r="N6" s="9">
        <f t="shared" si="4"/>
        <v>6.0827625302982193</v>
      </c>
      <c r="O6" s="9">
        <f t="shared" si="4"/>
        <v>6.324555320336759</v>
      </c>
      <c r="P6" s="9">
        <f t="shared" si="4"/>
        <v>6.7082039324993694</v>
      </c>
      <c r="Q6" s="9">
        <f t="shared" si="4"/>
        <v>7.2111025509279782</v>
      </c>
      <c r="R6" s="9">
        <f t="shared" si="4"/>
        <v>7.810249675906654</v>
      </c>
      <c r="S6" s="9">
        <f t="shared" si="4"/>
        <v>8.4852813742385695</v>
      </c>
      <c r="T6" s="9">
        <f t="shared" si="4"/>
        <v>9.2195444572928871</v>
      </c>
      <c r="U6" s="9">
        <f t="shared" si="4"/>
        <v>10</v>
      </c>
      <c r="V6" s="9">
        <f t="shared" si="4"/>
        <v>10.816653826391969</v>
      </c>
      <c r="W6" s="9">
        <f t="shared" si="4"/>
        <v>11.661903789690601</v>
      </c>
    </row>
    <row r="7" spans="1:25" ht="28.5" customHeight="1" x14ac:dyDescent="0.2">
      <c r="B7" s="9">
        <f t="shared" ref="B7:W7" si="5">SQRT((ROW($M$12)-ROW(B7))^2+(COLUMN($M$12)-COLUMN(B7))^2)</f>
        <v>12.083045973594572</v>
      </c>
      <c r="C7" s="9">
        <f t="shared" si="5"/>
        <v>11.180339887498949</v>
      </c>
      <c r="D7" s="9">
        <f t="shared" si="5"/>
        <v>10.295630140987001</v>
      </c>
      <c r="E7" s="9">
        <f t="shared" si="5"/>
        <v>9.4339811320566032</v>
      </c>
      <c r="F7" s="9">
        <f t="shared" si="5"/>
        <v>8.6023252670426267</v>
      </c>
      <c r="G7" s="9">
        <f t="shared" si="5"/>
        <v>7.810249675906654</v>
      </c>
      <c r="H7" s="9">
        <f t="shared" si="5"/>
        <v>7.0710678118654755</v>
      </c>
      <c r="I7" s="9">
        <f t="shared" si="5"/>
        <v>6.4031242374328485</v>
      </c>
      <c r="J7" s="9">
        <f t="shared" si="5"/>
        <v>5.8309518948453007</v>
      </c>
      <c r="K7" s="9">
        <f t="shared" si="5"/>
        <v>5.3851648071345037</v>
      </c>
      <c r="L7" s="9">
        <f t="shared" si="5"/>
        <v>5.0990195135927845</v>
      </c>
      <c r="M7" s="9">
        <f t="shared" si="5"/>
        <v>5</v>
      </c>
      <c r="N7" s="9">
        <f t="shared" si="5"/>
        <v>5.0990195135927845</v>
      </c>
      <c r="O7" s="9">
        <f t="shared" si="5"/>
        <v>5.3851648071345037</v>
      </c>
      <c r="P7" s="9">
        <f t="shared" si="5"/>
        <v>5.8309518948453007</v>
      </c>
      <c r="Q7" s="9">
        <f t="shared" si="5"/>
        <v>6.4031242374328485</v>
      </c>
      <c r="R7" s="9">
        <f t="shared" si="5"/>
        <v>7.0710678118654755</v>
      </c>
      <c r="S7" s="9">
        <f t="shared" si="5"/>
        <v>7.810249675906654</v>
      </c>
      <c r="T7" s="9">
        <f t="shared" si="5"/>
        <v>8.6023252670426267</v>
      </c>
      <c r="U7" s="9">
        <f t="shared" si="5"/>
        <v>9.4339811320566032</v>
      </c>
      <c r="V7" s="9">
        <f t="shared" si="5"/>
        <v>10.295630140987001</v>
      </c>
      <c r="W7" s="9">
        <f t="shared" si="5"/>
        <v>11.180339887498949</v>
      </c>
    </row>
    <row r="8" spans="1:25" ht="28.5" customHeight="1" x14ac:dyDescent="0.2">
      <c r="B8" s="9">
        <f t="shared" ref="B8:W8" si="6">SQRT((ROW($M$12)-ROW(B8))^2+(COLUMN($M$12)-COLUMN(B8))^2)</f>
        <v>11.704699910719626</v>
      </c>
      <c r="C8" s="9">
        <f t="shared" si="6"/>
        <v>10.770329614269007</v>
      </c>
      <c r="D8" s="9">
        <f t="shared" si="6"/>
        <v>9.8488578017961039</v>
      </c>
      <c r="E8" s="9">
        <f t="shared" si="6"/>
        <v>8.9442719099991592</v>
      </c>
      <c r="F8" s="9">
        <f t="shared" si="6"/>
        <v>8.0622577482985491</v>
      </c>
      <c r="G8" s="9">
        <f t="shared" si="6"/>
        <v>7.2111025509279782</v>
      </c>
      <c r="H8" s="9">
        <f t="shared" si="6"/>
        <v>6.4031242374328485</v>
      </c>
      <c r="I8" s="9">
        <f t="shared" si="6"/>
        <v>5.6568542494923806</v>
      </c>
      <c r="J8" s="9">
        <f t="shared" si="6"/>
        <v>5</v>
      </c>
      <c r="K8" s="9">
        <f t="shared" si="6"/>
        <v>4.4721359549995796</v>
      </c>
      <c r="L8" s="9">
        <f t="shared" si="6"/>
        <v>4.1231056256176606</v>
      </c>
      <c r="M8" s="9">
        <f t="shared" si="6"/>
        <v>4</v>
      </c>
      <c r="N8" s="9">
        <f t="shared" si="6"/>
        <v>4.1231056256176606</v>
      </c>
      <c r="O8" s="9">
        <f t="shared" si="6"/>
        <v>4.4721359549995796</v>
      </c>
      <c r="P8" s="9">
        <f t="shared" si="6"/>
        <v>5</v>
      </c>
      <c r="Q8" s="9">
        <f t="shared" si="6"/>
        <v>5.6568542494923806</v>
      </c>
      <c r="R8" s="9">
        <f t="shared" si="6"/>
        <v>6.4031242374328485</v>
      </c>
      <c r="S8" s="9">
        <f t="shared" si="6"/>
        <v>7.2111025509279782</v>
      </c>
      <c r="T8" s="9">
        <f t="shared" si="6"/>
        <v>8.0622577482985491</v>
      </c>
      <c r="U8" s="9">
        <f t="shared" si="6"/>
        <v>8.9442719099991592</v>
      </c>
      <c r="V8" s="9">
        <f t="shared" si="6"/>
        <v>9.8488578017961039</v>
      </c>
      <c r="W8" s="9">
        <f t="shared" si="6"/>
        <v>10.770329614269007</v>
      </c>
    </row>
    <row r="9" spans="1:25" ht="28.5" customHeight="1" x14ac:dyDescent="0.2">
      <c r="B9" s="9">
        <f t="shared" ref="B9:W9" si="7">SQRT((ROW($M$12)-ROW(B9))^2+(COLUMN($M$12)-COLUMN(B9))^2)</f>
        <v>11.401754250991379</v>
      </c>
      <c r="C9" s="9">
        <f t="shared" si="7"/>
        <v>10.440306508910551</v>
      </c>
      <c r="D9" s="9">
        <f t="shared" si="7"/>
        <v>9.4868329805051381</v>
      </c>
      <c r="E9" s="9">
        <f t="shared" si="7"/>
        <v>8.5440037453175304</v>
      </c>
      <c r="F9" s="9">
        <f t="shared" si="7"/>
        <v>7.6157731058639087</v>
      </c>
      <c r="G9" s="9">
        <f t="shared" si="7"/>
        <v>6.7082039324993694</v>
      </c>
      <c r="H9" s="9">
        <f t="shared" si="7"/>
        <v>5.8309518948453007</v>
      </c>
      <c r="I9" s="9">
        <f t="shared" si="7"/>
        <v>5</v>
      </c>
      <c r="J9" s="9">
        <f t="shared" si="7"/>
        <v>4.2426406871192848</v>
      </c>
      <c r="K9" s="9">
        <f t="shared" si="7"/>
        <v>3.6055512754639891</v>
      </c>
      <c r="L9" s="9">
        <f t="shared" si="7"/>
        <v>3.1622776601683795</v>
      </c>
      <c r="M9" s="9">
        <f t="shared" si="7"/>
        <v>3</v>
      </c>
      <c r="N9" s="9">
        <f t="shared" si="7"/>
        <v>3.1622776601683795</v>
      </c>
      <c r="O9" s="9">
        <f t="shared" si="7"/>
        <v>3.6055512754639891</v>
      </c>
      <c r="P9" s="9">
        <f t="shared" si="7"/>
        <v>4.2426406871192848</v>
      </c>
      <c r="Q9" s="9">
        <f t="shared" si="7"/>
        <v>5</v>
      </c>
      <c r="R9" s="9">
        <f t="shared" si="7"/>
        <v>5.8309518948453007</v>
      </c>
      <c r="S9" s="9">
        <f t="shared" si="7"/>
        <v>6.7082039324993694</v>
      </c>
      <c r="T9" s="9">
        <f t="shared" si="7"/>
        <v>7.6157731058639087</v>
      </c>
      <c r="U9" s="9">
        <f t="shared" si="7"/>
        <v>8.5440037453175304</v>
      </c>
      <c r="V9" s="9">
        <f t="shared" si="7"/>
        <v>9.4868329805051381</v>
      </c>
      <c r="W9" s="9">
        <f t="shared" si="7"/>
        <v>10.440306508910551</v>
      </c>
    </row>
    <row r="10" spans="1:25" ht="28.5" customHeight="1" x14ac:dyDescent="0.2">
      <c r="B10" s="9">
        <f t="shared" ref="B10:W10" si="8">SQRT((ROW($M$12)-ROW(B10))^2+(COLUMN($M$12)-COLUMN(B10))^2)</f>
        <v>11.180339887498949</v>
      </c>
      <c r="C10" s="9">
        <f t="shared" si="8"/>
        <v>10.198039027185569</v>
      </c>
      <c r="D10" s="9">
        <f t="shared" si="8"/>
        <v>9.2195444572928871</v>
      </c>
      <c r="E10" s="9">
        <f t="shared" si="8"/>
        <v>8.2462112512353212</v>
      </c>
      <c r="F10" s="9">
        <f t="shared" si="8"/>
        <v>7.2801098892805181</v>
      </c>
      <c r="G10" s="9">
        <f t="shared" si="8"/>
        <v>6.324555320336759</v>
      </c>
      <c r="H10" s="9">
        <f t="shared" si="8"/>
        <v>5.3851648071345037</v>
      </c>
      <c r="I10" s="9">
        <f t="shared" si="8"/>
        <v>4.4721359549995796</v>
      </c>
      <c r="J10" s="9">
        <f t="shared" si="8"/>
        <v>3.6055512754639891</v>
      </c>
      <c r="K10" s="9">
        <f t="shared" si="8"/>
        <v>2.8284271247461903</v>
      </c>
      <c r="L10" s="9">
        <f t="shared" si="8"/>
        <v>2.2360679774997898</v>
      </c>
      <c r="M10" s="9">
        <f t="shared" si="8"/>
        <v>2</v>
      </c>
      <c r="N10" s="9">
        <f t="shared" si="8"/>
        <v>2.2360679774997898</v>
      </c>
      <c r="O10" s="9">
        <f t="shared" si="8"/>
        <v>2.8284271247461903</v>
      </c>
      <c r="P10" s="9">
        <f t="shared" si="8"/>
        <v>3.6055512754639891</v>
      </c>
      <c r="Q10" s="9">
        <f t="shared" si="8"/>
        <v>4.4721359549995796</v>
      </c>
      <c r="R10" s="9">
        <f t="shared" si="8"/>
        <v>5.3851648071345037</v>
      </c>
      <c r="S10" s="9">
        <f t="shared" si="8"/>
        <v>6.324555320336759</v>
      </c>
      <c r="T10" s="9">
        <f t="shared" si="8"/>
        <v>7.2801098892805181</v>
      </c>
      <c r="U10" s="9">
        <f t="shared" si="8"/>
        <v>8.2462112512353212</v>
      </c>
      <c r="V10" s="9">
        <f t="shared" si="8"/>
        <v>9.2195444572928871</v>
      </c>
      <c r="W10" s="9">
        <f t="shared" si="8"/>
        <v>10.198039027185569</v>
      </c>
    </row>
    <row r="11" spans="1:25" ht="28.5" customHeight="1" x14ac:dyDescent="0.2">
      <c r="B11" s="9">
        <f t="shared" ref="B11:W11" si="9">SQRT((ROW($M$12)-ROW(B11))^2+(COLUMN($M$12)-COLUMN(B11))^2)</f>
        <v>11.045361017187261</v>
      </c>
      <c r="C11" s="9">
        <f t="shared" si="9"/>
        <v>10.04987562112089</v>
      </c>
      <c r="D11" s="9">
        <f t="shared" si="9"/>
        <v>9.0553851381374173</v>
      </c>
      <c r="E11" s="9">
        <f t="shared" si="9"/>
        <v>8.0622577482985491</v>
      </c>
      <c r="F11" s="9">
        <f t="shared" si="9"/>
        <v>7.0710678118654755</v>
      </c>
      <c r="G11" s="9">
        <f t="shared" si="9"/>
        <v>6.0827625302982193</v>
      </c>
      <c r="H11" s="9">
        <f t="shared" si="9"/>
        <v>5.0990195135927845</v>
      </c>
      <c r="I11" s="9">
        <f t="shared" si="9"/>
        <v>4.1231056256176606</v>
      </c>
      <c r="J11" s="9">
        <f t="shared" si="9"/>
        <v>3.1622776601683795</v>
      </c>
      <c r="K11" s="9">
        <f t="shared" si="9"/>
        <v>2.2360679774997898</v>
      </c>
      <c r="L11" s="9">
        <f t="shared" si="9"/>
        <v>1.4142135623730951</v>
      </c>
      <c r="M11" s="9">
        <f t="shared" si="9"/>
        <v>1</v>
      </c>
      <c r="N11" s="9">
        <f t="shared" si="9"/>
        <v>1.4142135623730951</v>
      </c>
      <c r="O11" s="9">
        <f t="shared" si="9"/>
        <v>2.2360679774997898</v>
      </c>
      <c r="P11" s="9">
        <f t="shared" si="9"/>
        <v>3.1622776601683795</v>
      </c>
      <c r="Q11" s="9">
        <f t="shared" si="9"/>
        <v>4.1231056256176606</v>
      </c>
      <c r="R11" s="9">
        <f t="shared" si="9"/>
        <v>5.0990195135927845</v>
      </c>
      <c r="S11" s="9">
        <f t="shared" si="9"/>
        <v>6.0827625302982193</v>
      </c>
      <c r="T11" s="9">
        <f t="shared" si="9"/>
        <v>7.0710678118654755</v>
      </c>
      <c r="U11" s="9">
        <f t="shared" si="9"/>
        <v>8.0622577482985491</v>
      </c>
      <c r="V11" s="9">
        <f t="shared" si="9"/>
        <v>9.0553851381374173</v>
      </c>
      <c r="W11" s="9">
        <f t="shared" si="9"/>
        <v>10.04987562112089</v>
      </c>
    </row>
    <row r="12" spans="1:25" ht="28.5" customHeight="1" x14ac:dyDescent="0.2">
      <c r="B12" s="9">
        <f t="shared" ref="B12:L12" si="10">SQRT((ROW($M$12)-ROW(B12))^2+(COLUMN($M$12)-COLUMN(B12))^2)</f>
        <v>11</v>
      </c>
      <c r="C12" s="9">
        <f t="shared" si="10"/>
        <v>10</v>
      </c>
      <c r="D12" s="9">
        <f t="shared" si="10"/>
        <v>9</v>
      </c>
      <c r="E12" s="9">
        <f t="shared" si="10"/>
        <v>8</v>
      </c>
      <c r="F12" s="9">
        <f t="shared" si="10"/>
        <v>7</v>
      </c>
      <c r="G12" s="9">
        <f t="shared" si="10"/>
        <v>6</v>
      </c>
      <c r="H12" s="9">
        <f t="shared" si="10"/>
        <v>5</v>
      </c>
      <c r="I12" s="9">
        <f t="shared" si="10"/>
        <v>4</v>
      </c>
      <c r="J12" s="9">
        <f t="shared" si="10"/>
        <v>3</v>
      </c>
      <c r="K12" s="9">
        <f t="shared" si="10"/>
        <v>2</v>
      </c>
      <c r="L12" s="9">
        <f t="shared" si="10"/>
        <v>1</v>
      </c>
      <c r="M12" s="11"/>
      <c r="N12" s="9">
        <f t="shared" ref="N12:W12" si="11">SQRT((ROW($M$12)-ROW(N12))^2+(COLUMN($M$12)-COLUMN(N12))^2)</f>
        <v>1</v>
      </c>
      <c r="O12" s="9">
        <f t="shared" si="11"/>
        <v>2</v>
      </c>
      <c r="P12" s="9">
        <f t="shared" si="11"/>
        <v>3</v>
      </c>
      <c r="Q12" s="9">
        <f t="shared" si="11"/>
        <v>4</v>
      </c>
      <c r="R12" s="9">
        <f t="shared" si="11"/>
        <v>5</v>
      </c>
      <c r="S12" s="9">
        <f t="shared" si="11"/>
        <v>6</v>
      </c>
      <c r="T12" s="9">
        <f t="shared" si="11"/>
        <v>7</v>
      </c>
      <c r="U12" s="9">
        <f t="shared" si="11"/>
        <v>8</v>
      </c>
      <c r="V12" s="9">
        <f t="shared" si="11"/>
        <v>9</v>
      </c>
      <c r="W12" s="9">
        <f t="shared" si="11"/>
        <v>10</v>
      </c>
    </row>
    <row r="13" spans="1:25" ht="28.5" customHeight="1" x14ac:dyDescent="0.2">
      <c r="B13" s="9">
        <f t="shared" ref="B13:W13" si="12">SQRT((ROW($M$12)-ROW(B13))^2+(COLUMN($M$12)-COLUMN(B13))^2)</f>
        <v>11.045361017187261</v>
      </c>
      <c r="C13" s="9">
        <f t="shared" si="12"/>
        <v>10.04987562112089</v>
      </c>
      <c r="D13" s="9">
        <f t="shared" si="12"/>
        <v>9.0553851381374173</v>
      </c>
      <c r="E13" s="9">
        <f t="shared" si="12"/>
        <v>8.0622577482985491</v>
      </c>
      <c r="F13" s="9">
        <f t="shared" si="12"/>
        <v>7.0710678118654755</v>
      </c>
      <c r="G13" s="9">
        <f t="shared" si="12"/>
        <v>6.0827625302982193</v>
      </c>
      <c r="H13" s="9">
        <f t="shared" si="12"/>
        <v>5.0990195135927845</v>
      </c>
      <c r="I13" s="9">
        <f t="shared" si="12"/>
        <v>4.1231056256176606</v>
      </c>
      <c r="J13" s="9">
        <f t="shared" si="12"/>
        <v>3.1622776601683795</v>
      </c>
      <c r="K13" s="9">
        <f t="shared" si="12"/>
        <v>2.2360679774997898</v>
      </c>
      <c r="L13" s="9">
        <f t="shared" si="12"/>
        <v>1.4142135623730951</v>
      </c>
      <c r="M13" s="9">
        <f t="shared" si="12"/>
        <v>1</v>
      </c>
      <c r="N13" s="9">
        <f t="shared" si="12"/>
        <v>1.4142135623730951</v>
      </c>
      <c r="O13" s="9">
        <f t="shared" si="12"/>
        <v>2.2360679774997898</v>
      </c>
      <c r="P13" s="9">
        <f t="shared" si="12"/>
        <v>3.1622776601683795</v>
      </c>
      <c r="Q13" s="9">
        <f t="shared" si="12"/>
        <v>4.1231056256176606</v>
      </c>
      <c r="R13" s="9">
        <f t="shared" si="12"/>
        <v>5.0990195135927845</v>
      </c>
      <c r="S13" s="9">
        <f t="shared" si="12"/>
        <v>6.0827625302982193</v>
      </c>
      <c r="T13" s="9">
        <f t="shared" si="12"/>
        <v>7.0710678118654755</v>
      </c>
      <c r="U13" s="9">
        <f t="shared" si="12"/>
        <v>8.0622577482985491</v>
      </c>
      <c r="V13" s="9">
        <f t="shared" si="12"/>
        <v>9.0553851381374173</v>
      </c>
      <c r="W13" s="9">
        <f t="shared" si="12"/>
        <v>10.04987562112089</v>
      </c>
    </row>
    <row r="14" spans="1:25" ht="28.5" customHeight="1" x14ac:dyDescent="0.2">
      <c r="B14" s="9">
        <f t="shared" ref="B14:W14" si="13">SQRT((ROW($M$12)-ROW(B14))^2+(COLUMN($M$12)-COLUMN(B14))^2)</f>
        <v>11.180339887498949</v>
      </c>
      <c r="C14" s="9">
        <f t="shared" si="13"/>
        <v>10.198039027185569</v>
      </c>
      <c r="D14" s="9">
        <f t="shared" si="13"/>
        <v>9.2195444572928871</v>
      </c>
      <c r="E14" s="9">
        <f t="shared" si="13"/>
        <v>8.2462112512353212</v>
      </c>
      <c r="F14" s="9">
        <f t="shared" si="13"/>
        <v>7.2801098892805181</v>
      </c>
      <c r="G14" s="9">
        <f t="shared" si="13"/>
        <v>6.324555320336759</v>
      </c>
      <c r="H14" s="9">
        <f t="shared" si="13"/>
        <v>5.3851648071345037</v>
      </c>
      <c r="I14" s="9">
        <f t="shared" si="13"/>
        <v>4.4721359549995796</v>
      </c>
      <c r="J14" s="9">
        <f t="shared" si="13"/>
        <v>3.6055512754639891</v>
      </c>
      <c r="K14" s="9">
        <f t="shared" si="13"/>
        <v>2.8284271247461903</v>
      </c>
      <c r="L14" s="9">
        <f t="shared" si="13"/>
        <v>2.2360679774997898</v>
      </c>
      <c r="M14" s="9">
        <f t="shared" si="13"/>
        <v>2</v>
      </c>
      <c r="N14" s="9">
        <f t="shared" si="13"/>
        <v>2.2360679774997898</v>
      </c>
      <c r="O14" s="9">
        <f t="shared" si="13"/>
        <v>2.8284271247461903</v>
      </c>
      <c r="P14" s="9">
        <f t="shared" si="13"/>
        <v>3.6055512754639891</v>
      </c>
      <c r="Q14" s="9">
        <f t="shared" si="13"/>
        <v>4.4721359549995796</v>
      </c>
      <c r="R14" s="9">
        <f t="shared" si="13"/>
        <v>5.3851648071345037</v>
      </c>
      <c r="S14" s="9">
        <f t="shared" si="13"/>
        <v>6.324555320336759</v>
      </c>
      <c r="T14" s="9">
        <f t="shared" si="13"/>
        <v>7.2801098892805181</v>
      </c>
      <c r="U14" s="9">
        <f t="shared" si="13"/>
        <v>8.2462112512353212</v>
      </c>
      <c r="V14" s="9">
        <f t="shared" si="13"/>
        <v>9.2195444572928871</v>
      </c>
      <c r="W14" s="9">
        <f t="shared" si="13"/>
        <v>10.198039027185569</v>
      </c>
    </row>
    <row r="15" spans="1:25" ht="28.5" customHeight="1" x14ac:dyDescent="0.2">
      <c r="B15" s="9">
        <f t="shared" ref="B15:W15" si="14">SQRT((ROW($M$12)-ROW(B15))^2+(COLUMN($M$12)-COLUMN(B15))^2)</f>
        <v>11.401754250991379</v>
      </c>
      <c r="C15" s="9">
        <f t="shared" si="14"/>
        <v>10.440306508910551</v>
      </c>
      <c r="D15" s="9">
        <f t="shared" si="14"/>
        <v>9.4868329805051381</v>
      </c>
      <c r="E15" s="9">
        <f t="shared" si="14"/>
        <v>8.5440037453175304</v>
      </c>
      <c r="F15" s="9">
        <f t="shared" si="14"/>
        <v>7.6157731058639087</v>
      </c>
      <c r="G15" s="9">
        <f t="shared" si="14"/>
        <v>6.7082039324993694</v>
      </c>
      <c r="H15" s="9">
        <f t="shared" si="14"/>
        <v>5.8309518948453007</v>
      </c>
      <c r="I15" s="9">
        <f t="shared" si="14"/>
        <v>5</v>
      </c>
      <c r="J15" s="9">
        <f t="shared" si="14"/>
        <v>4.2426406871192848</v>
      </c>
      <c r="K15" s="9">
        <f t="shared" si="14"/>
        <v>3.6055512754639891</v>
      </c>
      <c r="L15" s="9">
        <f t="shared" si="14"/>
        <v>3.1622776601683795</v>
      </c>
      <c r="M15" s="9">
        <f t="shared" si="14"/>
        <v>3</v>
      </c>
      <c r="N15" s="9">
        <f t="shared" si="14"/>
        <v>3.1622776601683795</v>
      </c>
      <c r="O15" s="9">
        <f t="shared" si="14"/>
        <v>3.6055512754639891</v>
      </c>
      <c r="P15" s="9">
        <f t="shared" si="14"/>
        <v>4.2426406871192848</v>
      </c>
      <c r="Q15" s="9">
        <f t="shared" si="14"/>
        <v>5</v>
      </c>
      <c r="R15" s="9">
        <f t="shared" si="14"/>
        <v>5.8309518948453007</v>
      </c>
      <c r="S15" s="9">
        <f t="shared" si="14"/>
        <v>6.7082039324993694</v>
      </c>
      <c r="T15" s="9">
        <f t="shared" si="14"/>
        <v>7.6157731058639087</v>
      </c>
      <c r="U15" s="9">
        <f t="shared" si="14"/>
        <v>8.5440037453175304</v>
      </c>
      <c r="V15" s="9">
        <f t="shared" si="14"/>
        <v>9.4868329805051381</v>
      </c>
      <c r="W15" s="9">
        <f t="shared" si="14"/>
        <v>10.440306508910551</v>
      </c>
    </row>
    <row r="16" spans="1:25" ht="28.5" customHeight="1" x14ac:dyDescent="0.2">
      <c r="B16" s="9">
        <f t="shared" ref="B16:W16" si="15">SQRT((ROW($M$12)-ROW(B16))^2+(COLUMN($M$12)-COLUMN(B16))^2)</f>
        <v>11.704699910719626</v>
      </c>
      <c r="C16" s="9">
        <f t="shared" si="15"/>
        <v>10.770329614269007</v>
      </c>
      <c r="D16" s="9">
        <f t="shared" si="15"/>
        <v>9.8488578017961039</v>
      </c>
      <c r="E16" s="9">
        <f t="shared" si="15"/>
        <v>8.9442719099991592</v>
      </c>
      <c r="F16" s="9">
        <f t="shared" si="15"/>
        <v>8.0622577482985491</v>
      </c>
      <c r="G16" s="9">
        <f t="shared" si="15"/>
        <v>7.2111025509279782</v>
      </c>
      <c r="H16" s="9">
        <f t="shared" si="15"/>
        <v>6.4031242374328485</v>
      </c>
      <c r="I16" s="9">
        <f t="shared" si="15"/>
        <v>5.6568542494923806</v>
      </c>
      <c r="J16" s="9">
        <f t="shared" si="15"/>
        <v>5</v>
      </c>
      <c r="K16" s="9">
        <f t="shared" si="15"/>
        <v>4.4721359549995796</v>
      </c>
      <c r="L16" s="9">
        <f t="shared" si="15"/>
        <v>4.1231056256176606</v>
      </c>
      <c r="M16" s="9">
        <f t="shared" si="15"/>
        <v>4</v>
      </c>
      <c r="N16" s="9">
        <f t="shared" si="15"/>
        <v>4.1231056256176606</v>
      </c>
      <c r="O16" s="9">
        <f t="shared" si="15"/>
        <v>4.4721359549995796</v>
      </c>
      <c r="P16" s="9">
        <f t="shared" si="15"/>
        <v>5</v>
      </c>
      <c r="Q16" s="9">
        <f t="shared" si="15"/>
        <v>5.6568542494923806</v>
      </c>
      <c r="R16" s="9">
        <f t="shared" si="15"/>
        <v>6.4031242374328485</v>
      </c>
      <c r="S16" s="9">
        <f t="shared" si="15"/>
        <v>7.2111025509279782</v>
      </c>
      <c r="T16" s="9">
        <f t="shared" si="15"/>
        <v>8.0622577482985491</v>
      </c>
      <c r="U16" s="9">
        <f t="shared" si="15"/>
        <v>8.9442719099991592</v>
      </c>
      <c r="V16" s="9">
        <f t="shared" si="15"/>
        <v>9.8488578017961039</v>
      </c>
      <c r="W16" s="9">
        <f t="shared" si="15"/>
        <v>10.770329614269007</v>
      </c>
    </row>
    <row r="17" spans="2:23" ht="28.5" customHeight="1" x14ac:dyDescent="0.2">
      <c r="B17" s="9">
        <f t="shared" ref="B17:W17" si="16">SQRT((ROW($M$12)-ROW(B17))^2+(COLUMN($M$12)-COLUMN(B17))^2)</f>
        <v>12.083045973594572</v>
      </c>
      <c r="C17" s="9">
        <f t="shared" si="16"/>
        <v>11.180339887498949</v>
      </c>
      <c r="D17" s="9">
        <f t="shared" si="16"/>
        <v>10.295630140987001</v>
      </c>
      <c r="E17" s="9">
        <f t="shared" si="16"/>
        <v>9.4339811320566032</v>
      </c>
      <c r="F17" s="9">
        <f t="shared" si="16"/>
        <v>8.6023252670426267</v>
      </c>
      <c r="G17" s="9">
        <f t="shared" si="16"/>
        <v>7.810249675906654</v>
      </c>
      <c r="H17" s="9">
        <f t="shared" si="16"/>
        <v>7.0710678118654755</v>
      </c>
      <c r="I17" s="9">
        <f t="shared" si="16"/>
        <v>6.4031242374328485</v>
      </c>
      <c r="J17" s="9">
        <f t="shared" si="16"/>
        <v>5.8309518948453007</v>
      </c>
      <c r="K17" s="9">
        <f t="shared" si="16"/>
        <v>5.3851648071345037</v>
      </c>
      <c r="L17" s="9">
        <f t="shared" si="16"/>
        <v>5.0990195135927845</v>
      </c>
      <c r="M17" s="9">
        <f t="shared" si="16"/>
        <v>5</v>
      </c>
      <c r="N17" s="9">
        <f t="shared" si="16"/>
        <v>5.0990195135927845</v>
      </c>
      <c r="O17" s="9">
        <f t="shared" si="16"/>
        <v>5.3851648071345037</v>
      </c>
      <c r="P17" s="9">
        <f t="shared" si="16"/>
        <v>5.8309518948453007</v>
      </c>
      <c r="Q17" s="9">
        <f t="shared" si="16"/>
        <v>6.4031242374328485</v>
      </c>
      <c r="R17" s="9">
        <f t="shared" si="16"/>
        <v>7.0710678118654755</v>
      </c>
      <c r="S17" s="9">
        <f t="shared" si="16"/>
        <v>7.810249675906654</v>
      </c>
      <c r="T17" s="9">
        <f t="shared" si="16"/>
        <v>8.6023252670426267</v>
      </c>
      <c r="U17" s="9">
        <f t="shared" si="16"/>
        <v>9.4339811320566032</v>
      </c>
      <c r="V17" s="9">
        <f t="shared" si="16"/>
        <v>10.295630140987001</v>
      </c>
      <c r="W17" s="9">
        <f t="shared" si="16"/>
        <v>11.180339887498949</v>
      </c>
    </row>
    <row r="18" spans="2:23" ht="28.5" customHeight="1" x14ac:dyDescent="0.2">
      <c r="B18" s="9">
        <f t="shared" ref="B18:W18" si="17">SQRT((ROW($M$12)-ROW(B18))^2+(COLUMN($M$12)-COLUMN(B18))^2)</f>
        <v>12.529964086141668</v>
      </c>
      <c r="C18" s="9">
        <f t="shared" si="17"/>
        <v>11.661903789690601</v>
      </c>
      <c r="D18" s="9">
        <f t="shared" si="17"/>
        <v>10.816653826391969</v>
      </c>
      <c r="E18" s="9">
        <f t="shared" si="17"/>
        <v>10</v>
      </c>
      <c r="F18" s="9">
        <f t="shared" si="17"/>
        <v>9.2195444572928871</v>
      </c>
      <c r="G18" s="9">
        <f t="shared" si="17"/>
        <v>8.4852813742385695</v>
      </c>
      <c r="H18" s="9">
        <f t="shared" si="17"/>
        <v>7.810249675906654</v>
      </c>
      <c r="I18" s="9">
        <f t="shared" si="17"/>
        <v>7.2111025509279782</v>
      </c>
      <c r="J18" s="9">
        <f t="shared" si="17"/>
        <v>6.7082039324993694</v>
      </c>
      <c r="K18" s="9">
        <f t="shared" si="17"/>
        <v>6.324555320336759</v>
      </c>
      <c r="L18" s="9">
        <f t="shared" si="17"/>
        <v>6.0827625302982193</v>
      </c>
      <c r="M18" s="9">
        <f t="shared" si="17"/>
        <v>6</v>
      </c>
      <c r="N18" s="9">
        <f t="shared" si="17"/>
        <v>6.0827625302982193</v>
      </c>
      <c r="O18" s="9">
        <f t="shared" si="17"/>
        <v>6.324555320336759</v>
      </c>
      <c r="P18" s="9">
        <f t="shared" si="17"/>
        <v>6.7082039324993694</v>
      </c>
      <c r="Q18" s="9">
        <f t="shared" si="17"/>
        <v>7.2111025509279782</v>
      </c>
      <c r="R18" s="9">
        <f t="shared" si="17"/>
        <v>7.810249675906654</v>
      </c>
      <c r="S18" s="9">
        <f t="shared" si="17"/>
        <v>8.4852813742385695</v>
      </c>
      <c r="T18" s="9">
        <f t="shared" si="17"/>
        <v>9.2195444572928871</v>
      </c>
      <c r="U18" s="9">
        <f t="shared" si="17"/>
        <v>10</v>
      </c>
      <c r="V18" s="9">
        <f t="shared" si="17"/>
        <v>10.816653826391969</v>
      </c>
      <c r="W18" s="9">
        <f t="shared" si="17"/>
        <v>11.661903789690601</v>
      </c>
    </row>
    <row r="19" spans="2:23" ht="28.5" customHeight="1" x14ac:dyDescent="0.2">
      <c r="B19" s="9">
        <f t="shared" ref="B19:W19" si="18">SQRT((ROW($M$12)-ROW(B19))^2+(COLUMN($M$12)-COLUMN(B19))^2)</f>
        <v>13.038404810405298</v>
      </c>
      <c r="C19" s="9">
        <f t="shared" si="18"/>
        <v>12.206555615733702</v>
      </c>
      <c r="D19" s="9">
        <f t="shared" si="18"/>
        <v>11.401754250991379</v>
      </c>
      <c r="E19" s="9">
        <f t="shared" si="18"/>
        <v>10.63014581273465</v>
      </c>
      <c r="F19" s="9">
        <f t="shared" si="18"/>
        <v>9.8994949366116654</v>
      </c>
      <c r="G19" s="9">
        <f t="shared" si="18"/>
        <v>9.2195444572928871</v>
      </c>
      <c r="H19" s="9">
        <f t="shared" si="18"/>
        <v>8.6023252670426267</v>
      </c>
      <c r="I19" s="9">
        <f t="shared" si="18"/>
        <v>8.0622577482985491</v>
      </c>
      <c r="J19" s="9">
        <f t="shared" si="18"/>
        <v>7.6157731058639087</v>
      </c>
      <c r="K19" s="9">
        <f t="shared" si="18"/>
        <v>7.2801098892805181</v>
      </c>
      <c r="L19" s="9">
        <f t="shared" si="18"/>
        <v>7.0710678118654755</v>
      </c>
      <c r="M19" s="9">
        <f t="shared" si="18"/>
        <v>7</v>
      </c>
      <c r="N19" s="9">
        <f t="shared" si="18"/>
        <v>7.0710678118654755</v>
      </c>
      <c r="O19" s="9">
        <f t="shared" si="18"/>
        <v>7.2801098892805181</v>
      </c>
      <c r="P19" s="9">
        <f t="shared" si="18"/>
        <v>7.6157731058639087</v>
      </c>
      <c r="Q19" s="9">
        <f t="shared" si="18"/>
        <v>8.0622577482985491</v>
      </c>
      <c r="R19" s="9">
        <f t="shared" si="18"/>
        <v>8.6023252670426267</v>
      </c>
      <c r="S19" s="9">
        <f t="shared" si="18"/>
        <v>9.2195444572928871</v>
      </c>
      <c r="T19" s="9">
        <f t="shared" si="18"/>
        <v>9.8994949366116654</v>
      </c>
      <c r="U19" s="9">
        <f t="shared" si="18"/>
        <v>10.63014581273465</v>
      </c>
      <c r="V19" s="9">
        <f t="shared" si="18"/>
        <v>11.401754250991379</v>
      </c>
      <c r="W19" s="9">
        <f t="shared" si="18"/>
        <v>12.206555615733702</v>
      </c>
    </row>
    <row r="20" spans="2:23" ht="28.5" customHeight="1" x14ac:dyDescent="0.2">
      <c r="B20" s="9">
        <f t="shared" ref="B20:W20" si="19">SQRT((ROW($M$12)-ROW(B20))^2+(COLUMN($M$12)-COLUMN(B20))^2)</f>
        <v>13.601470508735444</v>
      </c>
      <c r="C20" s="9">
        <f t="shared" si="19"/>
        <v>12.806248474865697</v>
      </c>
      <c r="D20" s="9">
        <f t="shared" si="19"/>
        <v>12.041594578792296</v>
      </c>
      <c r="E20" s="9">
        <f t="shared" si="19"/>
        <v>11.313708498984761</v>
      </c>
      <c r="F20" s="9">
        <f t="shared" si="19"/>
        <v>10.63014581273465</v>
      </c>
      <c r="G20" s="9">
        <f t="shared" si="19"/>
        <v>10</v>
      </c>
      <c r="H20" s="9">
        <f t="shared" si="19"/>
        <v>9.4339811320566032</v>
      </c>
      <c r="I20" s="9">
        <f t="shared" si="19"/>
        <v>8.9442719099991592</v>
      </c>
      <c r="J20" s="9">
        <f t="shared" si="19"/>
        <v>8.5440037453175304</v>
      </c>
      <c r="K20" s="9">
        <f t="shared" si="19"/>
        <v>8.2462112512353212</v>
      </c>
      <c r="L20" s="9">
        <f t="shared" si="19"/>
        <v>8.0622577482985491</v>
      </c>
      <c r="M20" s="9">
        <f t="shared" si="19"/>
        <v>8</v>
      </c>
      <c r="N20" s="9">
        <f t="shared" si="19"/>
        <v>8.0622577482985491</v>
      </c>
      <c r="O20" s="9">
        <f t="shared" si="19"/>
        <v>8.2462112512353212</v>
      </c>
      <c r="P20" s="9">
        <f t="shared" si="19"/>
        <v>8.5440037453175304</v>
      </c>
      <c r="Q20" s="9">
        <f t="shared" si="19"/>
        <v>8.9442719099991592</v>
      </c>
      <c r="R20" s="9">
        <f t="shared" si="19"/>
        <v>9.4339811320566032</v>
      </c>
      <c r="S20" s="9">
        <f t="shared" si="19"/>
        <v>10</v>
      </c>
      <c r="T20" s="9">
        <f t="shared" si="19"/>
        <v>10.63014581273465</v>
      </c>
      <c r="U20" s="9">
        <f t="shared" si="19"/>
        <v>11.313708498984761</v>
      </c>
      <c r="V20" s="9">
        <f t="shared" si="19"/>
        <v>12.041594578792296</v>
      </c>
      <c r="W20" s="9">
        <f t="shared" si="19"/>
        <v>12.806248474865697</v>
      </c>
    </row>
    <row r="21" spans="2:23" ht="28.5" customHeight="1" x14ac:dyDescent="0.2">
      <c r="B21" s="9">
        <f t="shared" ref="B21:W21" si="20">SQRT((ROW($M$12)-ROW(B21))^2+(COLUMN($M$12)-COLUMN(B21))^2)</f>
        <v>14.212670403551895</v>
      </c>
      <c r="C21" s="9">
        <f t="shared" si="20"/>
        <v>13.45362404707371</v>
      </c>
      <c r="D21" s="9">
        <f t="shared" si="20"/>
        <v>12.727922061357855</v>
      </c>
      <c r="E21" s="9">
        <f t="shared" si="20"/>
        <v>12.041594578792296</v>
      </c>
      <c r="F21" s="9">
        <f t="shared" si="20"/>
        <v>11.401754250991379</v>
      </c>
      <c r="G21" s="9">
        <f t="shared" si="20"/>
        <v>10.816653826391969</v>
      </c>
      <c r="H21" s="9">
        <f t="shared" si="20"/>
        <v>10.295630140987001</v>
      </c>
      <c r="I21" s="9">
        <f t="shared" si="20"/>
        <v>9.8488578017961039</v>
      </c>
      <c r="J21" s="9">
        <f t="shared" si="20"/>
        <v>9.4868329805051381</v>
      </c>
      <c r="K21" s="9">
        <f t="shared" si="20"/>
        <v>9.2195444572928871</v>
      </c>
      <c r="L21" s="9">
        <f t="shared" si="20"/>
        <v>9.0553851381374173</v>
      </c>
      <c r="M21" s="9">
        <f t="shared" si="20"/>
        <v>9</v>
      </c>
      <c r="N21" s="9">
        <f t="shared" si="20"/>
        <v>9.0553851381374173</v>
      </c>
      <c r="O21" s="9">
        <f t="shared" si="20"/>
        <v>9.2195444572928871</v>
      </c>
      <c r="P21" s="9">
        <f t="shared" si="20"/>
        <v>9.4868329805051381</v>
      </c>
      <c r="Q21" s="9">
        <f t="shared" si="20"/>
        <v>9.8488578017961039</v>
      </c>
      <c r="R21" s="9">
        <f t="shared" si="20"/>
        <v>10.295630140987001</v>
      </c>
      <c r="S21" s="9">
        <f t="shared" si="20"/>
        <v>10.816653826391969</v>
      </c>
      <c r="T21" s="9">
        <f t="shared" si="20"/>
        <v>11.401754250991379</v>
      </c>
      <c r="U21" s="9">
        <f t="shared" si="20"/>
        <v>12.041594578792296</v>
      </c>
      <c r="V21" s="9">
        <f t="shared" si="20"/>
        <v>12.727922061357855</v>
      </c>
      <c r="W21" s="9">
        <f t="shared" si="20"/>
        <v>13.45362404707371</v>
      </c>
    </row>
    <row r="22" spans="2:23" ht="28.5" customHeight="1" x14ac:dyDescent="0.2">
      <c r="B22" s="9">
        <f t="shared" ref="B22:W22" si="21">SQRT((ROW($M$12)-ROW(B22))^2+(COLUMN($M$12)-COLUMN(B22))^2)</f>
        <v>14.866068747318506</v>
      </c>
      <c r="C22" s="9">
        <f t="shared" si="21"/>
        <v>14.142135623730951</v>
      </c>
      <c r="D22" s="9">
        <f t="shared" si="21"/>
        <v>13.45362404707371</v>
      </c>
      <c r="E22" s="9">
        <f t="shared" si="21"/>
        <v>12.806248474865697</v>
      </c>
      <c r="F22" s="9">
        <f t="shared" si="21"/>
        <v>12.206555615733702</v>
      </c>
      <c r="G22" s="9">
        <f t="shared" si="21"/>
        <v>11.661903789690601</v>
      </c>
      <c r="H22" s="9">
        <f t="shared" si="21"/>
        <v>11.180339887498949</v>
      </c>
      <c r="I22" s="9">
        <f t="shared" si="21"/>
        <v>10.770329614269007</v>
      </c>
      <c r="J22" s="9">
        <f t="shared" si="21"/>
        <v>10.440306508910551</v>
      </c>
      <c r="K22" s="9">
        <f t="shared" si="21"/>
        <v>10.198039027185569</v>
      </c>
      <c r="L22" s="9">
        <f t="shared" si="21"/>
        <v>10.04987562112089</v>
      </c>
      <c r="M22" s="9">
        <f t="shared" si="21"/>
        <v>10</v>
      </c>
      <c r="N22" s="9">
        <f t="shared" si="21"/>
        <v>10.04987562112089</v>
      </c>
      <c r="O22" s="9">
        <f t="shared" si="21"/>
        <v>10.198039027185569</v>
      </c>
      <c r="P22" s="9">
        <f t="shared" si="21"/>
        <v>10.440306508910551</v>
      </c>
      <c r="Q22" s="9">
        <f t="shared" si="21"/>
        <v>10.770329614269007</v>
      </c>
      <c r="R22" s="9">
        <f t="shared" si="21"/>
        <v>11.180339887498949</v>
      </c>
      <c r="S22" s="9">
        <f t="shared" si="21"/>
        <v>11.661903789690601</v>
      </c>
      <c r="T22" s="9">
        <f t="shared" si="21"/>
        <v>12.206555615733702</v>
      </c>
      <c r="U22" s="9">
        <f t="shared" si="21"/>
        <v>12.806248474865697</v>
      </c>
      <c r="V22" s="9">
        <f t="shared" si="21"/>
        <v>13.45362404707371</v>
      </c>
      <c r="W22" s="9">
        <f t="shared" si="21"/>
        <v>14.142135623730951</v>
      </c>
    </row>
    <row r="23" spans="2:23" ht="28.5" customHeight="1" x14ac:dyDescent="0.2">
      <c r="B23" s="9">
        <f t="shared" ref="B23:W23" si="22">SQRT((ROW($M$12)-ROW(B23))^2+(COLUMN($M$12)-COLUMN(B23))^2)</f>
        <v>15.556349186104045</v>
      </c>
      <c r="C23" s="9">
        <f t="shared" si="22"/>
        <v>14.866068747318506</v>
      </c>
      <c r="D23" s="9">
        <f t="shared" si="22"/>
        <v>14.212670403551895</v>
      </c>
      <c r="E23" s="9">
        <f t="shared" si="22"/>
        <v>13.601470508735444</v>
      </c>
      <c r="F23" s="9">
        <f t="shared" si="22"/>
        <v>13.038404810405298</v>
      </c>
      <c r="G23" s="9">
        <f t="shared" si="22"/>
        <v>12.529964086141668</v>
      </c>
      <c r="H23" s="9">
        <f t="shared" si="22"/>
        <v>12.083045973594572</v>
      </c>
      <c r="I23" s="9">
        <f t="shared" si="22"/>
        <v>11.704699910719626</v>
      </c>
      <c r="J23" s="9">
        <f t="shared" si="22"/>
        <v>11.401754250991379</v>
      </c>
      <c r="K23" s="9">
        <f t="shared" si="22"/>
        <v>11.180339887498949</v>
      </c>
      <c r="L23" s="9">
        <f t="shared" si="22"/>
        <v>11.045361017187261</v>
      </c>
      <c r="M23" s="9">
        <f t="shared" si="22"/>
        <v>11</v>
      </c>
      <c r="N23" s="9">
        <f t="shared" si="22"/>
        <v>11.045361017187261</v>
      </c>
      <c r="O23" s="9">
        <f t="shared" si="22"/>
        <v>11.180339887498949</v>
      </c>
      <c r="P23" s="9">
        <f t="shared" si="22"/>
        <v>11.401754250991379</v>
      </c>
      <c r="Q23" s="9">
        <f t="shared" si="22"/>
        <v>11.704699910719626</v>
      </c>
      <c r="R23" s="9">
        <f t="shared" si="22"/>
        <v>12.083045973594572</v>
      </c>
      <c r="S23" s="9">
        <f t="shared" si="22"/>
        <v>12.529964086141668</v>
      </c>
      <c r="T23" s="9">
        <f t="shared" si="22"/>
        <v>13.038404810405298</v>
      </c>
      <c r="U23" s="9">
        <f t="shared" si="22"/>
        <v>13.601470508735444</v>
      </c>
      <c r="V23" s="9">
        <f t="shared" si="22"/>
        <v>14.212670403551895</v>
      </c>
      <c r="W23" s="9">
        <f t="shared" si="22"/>
        <v>14.866068747318506</v>
      </c>
    </row>
    <row r="24" spans="2:23" ht="28.5" customHeight="1" x14ac:dyDescent="0.2"/>
    <row r="25" spans="2:23" ht="28.5" customHeight="1" x14ac:dyDescent="0.2"/>
    <row r="26" spans="2:23" ht="28.5" customHeight="1" x14ac:dyDescent="0.2"/>
    <row r="27" spans="2:23" ht="28.5" customHeight="1" x14ac:dyDescent="0.2"/>
    <row r="28" spans="2:23" ht="28.5" customHeight="1" x14ac:dyDescent="0.2"/>
    <row r="29" spans="2:23" ht="28.5" customHeight="1" x14ac:dyDescent="0.2"/>
    <row r="30" spans="2:23" ht="28.5" customHeight="1" x14ac:dyDescent="0.2"/>
    <row r="31" spans="2:23" ht="28.5" customHeight="1" x14ac:dyDescent="0.2"/>
    <row r="32" spans="2:23" ht="28.5" customHeight="1" x14ac:dyDescent="0.2"/>
    <row r="33" ht="28.5" customHeight="1" x14ac:dyDescent="0.2"/>
    <row r="34" ht="28.5" customHeight="1" x14ac:dyDescent="0.2"/>
    <row r="35" ht="28.5" customHeight="1" x14ac:dyDescent="0.2"/>
    <row r="36" ht="28.5" customHeight="1" x14ac:dyDescent="0.2"/>
    <row r="37" ht="28.5" customHeight="1" x14ac:dyDescent="0.2"/>
    <row r="38" ht="28.5" customHeight="1" x14ac:dyDescent="0.2"/>
    <row r="39" ht="28.5" customHeight="1" x14ac:dyDescent="0.2"/>
    <row r="40" ht="28.5" customHeight="1" x14ac:dyDescent="0.2"/>
    <row r="41" ht="28.5" customHeight="1" x14ac:dyDescent="0.2"/>
    <row r="42" ht="28.5" customHeight="1" x14ac:dyDescent="0.2"/>
    <row r="43" ht="28.5" customHeight="1" x14ac:dyDescent="0.2"/>
    <row r="44" ht="28.5" customHeight="1" x14ac:dyDescent="0.2"/>
    <row r="45" ht="28.5" customHeight="1" x14ac:dyDescent="0.2"/>
    <row r="46" ht="28.5" customHeight="1" x14ac:dyDescent="0.2"/>
    <row r="47" ht="28.5" customHeight="1" x14ac:dyDescent="0.2"/>
    <row r="48" ht="28.5" customHeight="1" x14ac:dyDescent="0.2"/>
    <row r="49" ht="28.5" customHeight="1" x14ac:dyDescent="0.2"/>
    <row r="50" ht="28.5" customHeight="1" x14ac:dyDescent="0.2"/>
    <row r="51" ht="28.5" customHeight="1" x14ac:dyDescent="0.2"/>
    <row r="52" ht="28.5" customHeight="1" x14ac:dyDescent="0.2"/>
    <row r="53" ht="28.5" customHeight="1" x14ac:dyDescent="0.2"/>
    <row r="54" ht="28.5" customHeight="1" x14ac:dyDescent="0.2"/>
    <row r="55" ht="28.5" customHeight="1" x14ac:dyDescent="0.2"/>
    <row r="56" ht="28.5" customHeight="1" x14ac:dyDescent="0.2"/>
    <row r="57" ht="28.5" customHeight="1" x14ac:dyDescent="0.2"/>
    <row r="58" ht="28.5" customHeight="1" x14ac:dyDescent="0.2"/>
    <row r="59" ht="28.5" customHeight="1" x14ac:dyDescent="0.2"/>
    <row r="60" ht="28.5" customHeight="1" x14ac:dyDescent="0.2"/>
    <row r="61" ht="28.5" customHeight="1" x14ac:dyDescent="0.2"/>
    <row r="62" ht="28.5" customHeight="1" x14ac:dyDescent="0.2"/>
    <row r="63" ht="28.5" customHeight="1" x14ac:dyDescent="0.2"/>
    <row r="64" ht="28.5" customHeight="1" x14ac:dyDescent="0.2"/>
    <row r="65" ht="28.5" customHeight="1" x14ac:dyDescent="0.2"/>
    <row r="66" ht="28.5" customHeight="1" x14ac:dyDescent="0.2"/>
    <row r="67" ht="28.5" customHeight="1" x14ac:dyDescent="0.2"/>
    <row r="68" ht="28.5" customHeight="1" x14ac:dyDescent="0.2"/>
    <row r="69" ht="28.5" customHeight="1" x14ac:dyDescent="0.2"/>
    <row r="70" ht="28.5" customHeight="1" x14ac:dyDescent="0.2"/>
    <row r="71" ht="28.5" customHeight="1" x14ac:dyDescent="0.2"/>
    <row r="72" ht="28.5" customHeight="1" x14ac:dyDescent="0.2"/>
    <row r="73" ht="28.5" customHeight="1" x14ac:dyDescent="0.2"/>
    <row r="74" ht="28.5" customHeight="1" x14ac:dyDescent="0.2"/>
    <row r="75" ht="28.5" customHeight="1" x14ac:dyDescent="0.2"/>
    <row r="76" ht="28.5" customHeight="1" x14ac:dyDescent="0.2"/>
    <row r="77" ht="28.5" customHeight="1" x14ac:dyDescent="0.2"/>
    <row r="78" ht="28.5" customHeight="1" x14ac:dyDescent="0.2"/>
    <row r="79" ht="28.5" customHeight="1" x14ac:dyDescent="0.2"/>
    <row r="80" ht="28.5" customHeight="1" x14ac:dyDescent="0.2"/>
    <row r="81" ht="28.5" customHeight="1" x14ac:dyDescent="0.2"/>
    <row r="82" ht="28.5" customHeight="1" x14ac:dyDescent="0.2"/>
    <row r="83" ht="28.5" customHeight="1" x14ac:dyDescent="0.2"/>
    <row r="84" ht="28.5" customHeight="1" x14ac:dyDescent="0.2"/>
    <row r="85" ht="28.5" customHeight="1" x14ac:dyDescent="0.2"/>
    <row r="86" ht="28.5" customHeight="1" x14ac:dyDescent="0.2"/>
    <row r="87" ht="28.5" customHeight="1" x14ac:dyDescent="0.2"/>
    <row r="88" ht="28.5" customHeight="1" x14ac:dyDescent="0.2"/>
    <row r="89" ht="28.5" customHeight="1" x14ac:dyDescent="0.2"/>
    <row r="90" ht="28.5" customHeight="1" x14ac:dyDescent="0.2"/>
    <row r="91" ht="28.5" customHeight="1" x14ac:dyDescent="0.2"/>
    <row r="92" ht="28.5" customHeight="1" x14ac:dyDescent="0.2"/>
    <row r="93" ht="28.5" customHeight="1" x14ac:dyDescent="0.2"/>
    <row r="94" ht="28.5" customHeight="1" x14ac:dyDescent="0.2"/>
    <row r="95" ht="28.5" customHeight="1" x14ac:dyDescent="0.2"/>
    <row r="96" ht="28.5" customHeight="1" x14ac:dyDescent="0.2"/>
    <row r="97" ht="28.5" customHeight="1" x14ac:dyDescent="0.2"/>
    <row r="98" ht="28.5" customHeight="1" x14ac:dyDescent="0.2"/>
    <row r="99" ht="28.5" customHeight="1" x14ac:dyDescent="0.2"/>
    <row r="100" ht="28.5" customHeight="1" x14ac:dyDescent="0.2"/>
    <row r="101" ht="28.5" customHeight="1" x14ac:dyDescent="0.2"/>
    <row r="102" ht="28.5" customHeight="1" x14ac:dyDescent="0.2"/>
    <row r="103" ht="28.5" customHeight="1" x14ac:dyDescent="0.2"/>
    <row r="104" ht="28.5" customHeight="1" x14ac:dyDescent="0.2"/>
    <row r="105" ht="28.5" customHeight="1" x14ac:dyDescent="0.2"/>
    <row r="106" ht="28.5" customHeight="1" x14ac:dyDescent="0.2"/>
    <row r="107" ht="28.5" customHeight="1" x14ac:dyDescent="0.2"/>
    <row r="108" ht="28.5" customHeight="1" x14ac:dyDescent="0.2"/>
    <row r="109" ht="28.5" customHeight="1" x14ac:dyDescent="0.2"/>
    <row r="110" ht="28.5" customHeight="1" x14ac:dyDescent="0.2"/>
    <row r="111" ht="28.5" customHeight="1" x14ac:dyDescent="0.2"/>
    <row r="112" ht="28.5" customHeight="1" x14ac:dyDescent="0.2"/>
    <row r="113" ht="28.5" customHeight="1" x14ac:dyDescent="0.2"/>
    <row r="114" ht="28.5" customHeight="1" x14ac:dyDescent="0.2"/>
    <row r="115" ht="28.5" customHeight="1" x14ac:dyDescent="0.2"/>
    <row r="116" ht="28.5" customHeight="1" x14ac:dyDescent="0.2"/>
    <row r="117" ht="28.5" customHeight="1" x14ac:dyDescent="0.2"/>
    <row r="118" ht="28.5" customHeight="1" x14ac:dyDescent="0.2"/>
    <row r="119" ht="28.5" customHeight="1" x14ac:dyDescent="0.2"/>
    <row r="120" ht="28.5" customHeight="1" x14ac:dyDescent="0.2"/>
    <row r="121" ht="28.5" customHeight="1" x14ac:dyDescent="0.2"/>
    <row r="122" ht="28.5" customHeight="1" x14ac:dyDescent="0.2"/>
    <row r="123" ht="28.5" customHeight="1" x14ac:dyDescent="0.2"/>
    <row r="124" ht="28.5" customHeight="1" x14ac:dyDescent="0.2"/>
    <row r="125" ht="28.5" customHeight="1" x14ac:dyDescent="0.2"/>
    <row r="126" ht="28.5" customHeight="1" x14ac:dyDescent="0.2"/>
    <row r="127" ht="28.5" customHeight="1" x14ac:dyDescent="0.2"/>
    <row r="128" ht="28.5" customHeight="1" x14ac:dyDescent="0.2"/>
    <row r="129" ht="28.5" customHeight="1" x14ac:dyDescent="0.2"/>
    <row r="130" ht="28.5" customHeight="1" x14ac:dyDescent="0.2"/>
    <row r="131" ht="28.5" customHeight="1" x14ac:dyDescent="0.2"/>
    <row r="132" ht="28.5" customHeight="1" x14ac:dyDescent="0.2"/>
    <row r="133" ht="28.5" customHeight="1" x14ac:dyDescent="0.2"/>
    <row r="134" ht="28.5" customHeight="1" x14ac:dyDescent="0.2"/>
    <row r="135" ht="28.5" customHeight="1" x14ac:dyDescent="0.2"/>
    <row r="136" ht="28.5" customHeight="1" x14ac:dyDescent="0.2"/>
    <row r="137" ht="28.5" customHeight="1" x14ac:dyDescent="0.2"/>
    <row r="138" ht="28.5" customHeight="1" x14ac:dyDescent="0.2"/>
    <row r="139" ht="28.5" customHeight="1" x14ac:dyDescent="0.2"/>
    <row r="140" ht="28.5" customHeight="1" x14ac:dyDescent="0.2"/>
    <row r="141" ht="28.5" customHeight="1" x14ac:dyDescent="0.2"/>
    <row r="142" ht="28.5" customHeight="1" x14ac:dyDescent="0.2"/>
    <row r="143" ht="28.5" customHeight="1" x14ac:dyDescent="0.2"/>
    <row r="144" ht="28.5" customHeight="1" x14ac:dyDescent="0.2"/>
    <row r="145" ht="28.5" customHeight="1" x14ac:dyDescent="0.2"/>
    <row r="146" ht="28.5" customHeight="1" x14ac:dyDescent="0.2"/>
    <row r="147" ht="28.5" customHeight="1" x14ac:dyDescent="0.2"/>
    <row r="148" ht="28.5" customHeight="1" x14ac:dyDescent="0.2"/>
    <row r="149" ht="28.5" customHeight="1" x14ac:dyDescent="0.2"/>
    <row r="150" ht="28.5" customHeight="1" x14ac:dyDescent="0.2"/>
    <row r="151" ht="28.5" customHeight="1" x14ac:dyDescent="0.2"/>
    <row r="152" ht="28.5" customHeight="1" x14ac:dyDescent="0.2"/>
    <row r="153" ht="28.5" customHeight="1" x14ac:dyDescent="0.2"/>
    <row r="154" ht="28.5" customHeight="1" x14ac:dyDescent="0.2"/>
    <row r="155" ht="28.5" customHeight="1" x14ac:dyDescent="0.2"/>
    <row r="156" ht="28.5" customHeight="1" x14ac:dyDescent="0.2"/>
    <row r="157" ht="28.5" customHeight="1" x14ac:dyDescent="0.2"/>
    <row r="158" ht="28.5" customHeight="1" x14ac:dyDescent="0.2"/>
    <row r="159" ht="28.5" customHeight="1" x14ac:dyDescent="0.2"/>
    <row r="160" ht="28.5" customHeight="1" x14ac:dyDescent="0.2"/>
    <row r="161" ht="28.5" customHeight="1" x14ac:dyDescent="0.2"/>
    <row r="162" ht="28.5" customHeight="1" x14ac:dyDescent="0.2"/>
    <row r="163" ht="28.5" customHeight="1" x14ac:dyDescent="0.2"/>
    <row r="164" ht="28.5" customHeight="1" x14ac:dyDescent="0.2"/>
    <row r="165" ht="28.5" customHeight="1" x14ac:dyDescent="0.2"/>
    <row r="166" ht="28.5" customHeight="1" x14ac:dyDescent="0.2"/>
    <row r="167" ht="28.5" customHeight="1" x14ac:dyDescent="0.2"/>
    <row r="168" ht="28.5" customHeight="1" x14ac:dyDescent="0.2"/>
    <row r="169" ht="28.5" customHeight="1" x14ac:dyDescent="0.2"/>
    <row r="170" ht="28.5" customHeight="1" x14ac:dyDescent="0.2"/>
    <row r="171" ht="28.5" customHeight="1" x14ac:dyDescent="0.2"/>
    <row r="172" ht="28.5" customHeight="1" x14ac:dyDescent="0.2"/>
    <row r="173" ht="28.5" customHeight="1" x14ac:dyDescent="0.2"/>
    <row r="174" ht="28.5" customHeight="1" x14ac:dyDescent="0.2"/>
    <row r="175" ht="28.5" customHeight="1" x14ac:dyDescent="0.2"/>
    <row r="176" ht="28.5" customHeight="1" x14ac:dyDescent="0.2"/>
    <row r="177" ht="28.5" customHeight="1" x14ac:dyDescent="0.2"/>
    <row r="178" ht="28.5" customHeight="1" x14ac:dyDescent="0.2"/>
    <row r="179" ht="28.5" customHeight="1" x14ac:dyDescent="0.2"/>
    <row r="180" ht="28.5" customHeight="1" x14ac:dyDescent="0.2"/>
    <row r="181" ht="28.5" customHeight="1" x14ac:dyDescent="0.2"/>
    <row r="182" ht="28.5" customHeight="1" x14ac:dyDescent="0.2"/>
    <row r="183" ht="28.5" customHeight="1" x14ac:dyDescent="0.2"/>
    <row r="184" ht="28.5" customHeight="1" x14ac:dyDescent="0.2"/>
    <row r="185" ht="28.5" customHeight="1" x14ac:dyDescent="0.2"/>
    <row r="186" ht="28.5" customHeight="1" x14ac:dyDescent="0.2"/>
    <row r="187" ht="28.5" customHeight="1" x14ac:dyDescent="0.2"/>
    <row r="188" ht="28.5" customHeight="1" x14ac:dyDescent="0.2"/>
    <row r="189" ht="28.5" customHeight="1" x14ac:dyDescent="0.2"/>
    <row r="190" ht="28.5" customHeight="1" x14ac:dyDescent="0.2"/>
    <row r="191" ht="28.5" customHeight="1" x14ac:dyDescent="0.2"/>
    <row r="192" ht="28.5" customHeight="1" x14ac:dyDescent="0.2"/>
    <row r="193" ht="28.5" customHeight="1" x14ac:dyDescent="0.2"/>
    <row r="194" ht="28.5" customHeight="1" x14ac:dyDescent="0.2"/>
    <row r="195" ht="28.5" customHeight="1" x14ac:dyDescent="0.2"/>
    <row r="196" ht="28.5" customHeight="1" x14ac:dyDescent="0.2"/>
    <row r="197" ht="28.5" customHeight="1" x14ac:dyDescent="0.2"/>
    <row r="198" ht="28.5" customHeight="1" x14ac:dyDescent="0.2"/>
    <row r="199" ht="28.5" customHeight="1" x14ac:dyDescent="0.2"/>
    <row r="200" ht="28.5" customHeight="1" x14ac:dyDescent="0.2"/>
    <row r="201" ht="28.5" customHeight="1" x14ac:dyDescent="0.2"/>
    <row r="202" ht="28.5" customHeight="1" x14ac:dyDescent="0.2"/>
    <row r="203" ht="28.5" customHeight="1" x14ac:dyDescent="0.2"/>
    <row r="204" ht="28.5" customHeight="1" x14ac:dyDescent="0.2"/>
    <row r="205" ht="28.5" customHeight="1" x14ac:dyDescent="0.2"/>
    <row r="206" ht="28.5" customHeight="1" x14ac:dyDescent="0.2"/>
    <row r="207" ht="28.5" customHeight="1" x14ac:dyDescent="0.2"/>
    <row r="208" ht="28.5" customHeight="1" x14ac:dyDescent="0.2"/>
    <row r="209" ht="28.5" customHeight="1" x14ac:dyDescent="0.2"/>
    <row r="210" ht="28.5" customHeight="1" x14ac:dyDescent="0.2"/>
    <row r="211" ht="28.5" customHeight="1" x14ac:dyDescent="0.2"/>
    <row r="212" ht="28.5" customHeight="1" x14ac:dyDescent="0.2"/>
    <row r="213" ht="28.5" customHeight="1" x14ac:dyDescent="0.2"/>
    <row r="214" ht="28.5" customHeight="1" x14ac:dyDescent="0.2"/>
    <row r="215" ht="28.5" customHeight="1" x14ac:dyDescent="0.2"/>
    <row r="216" ht="28.5" customHeight="1" x14ac:dyDescent="0.2"/>
    <row r="217" ht="28.5" customHeight="1" x14ac:dyDescent="0.2"/>
    <row r="218" ht="28.5" customHeight="1" x14ac:dyDescent="0.2"/>
    <row r="219" ht="28.5" customHeight="1" x14ac:dyDescent="0.2"/>
    <row r="220" ht="28.5" customHeight="1" x14ac:dyDescent="0.2"/>
    <row r="221" ht="28.5" customHeight="1" x14ac:dyDescent="0.2"/>
    <row r="222" ht="28.5" customHeight="1" x14ac:dyDescent="0.2"/>
    <row r="223" ht="28.5" customHeight="1" x14ac:dyDescent="0.2"/>
    <row r="224" ht="28.5" customHeight="1" x14ac:dyDescent="0.2"/>
    <row r="225" ht="28.5" customHeight="1" x14ac:dyDescent="0.2"/>
    <row r="226" ht="28.5" customHeight="1" x14ac:dyDescent="0.2"/>
    <row r="227" ht="28.5" customHeight="1" x14ac:dyDescent="0.2"/>
    <row r="228" ht="28.5" customHeight="1" x14ac:dyDescent="0.2"/>
    <row r="229" ht="28.5" customHeight="1" x14ac:dyDescent="0.2"/>
    <row r="230" ht="28.5" customHeight="1" x14ac:dyDescent="0.2"/>
    <row r="231" ht="28.5" customHeight="1" x14ac:dyDescent="0.2"/>
    <row r="232" ht="28.5" customHeight="1" x14ac:dyDescent="0.2"/>
    <row r="233" ht="28.5" customHeight="1" x14ac:dyDescent="0.2"/>
    <row r="234" ht="28.5" customHeight="1" x14ac:dyDescent="0.2"/>
    <row r="235" ht="28.5" customHeight="1" x14ac:dyDescent="0.2"/>
    <row r="236" ht="28.5" customHeight="1" x14ac:dyDescent="0.2"/>
    <row r="237" ht="28.5" customHeight="1" x14ac:dyDescent="0.2"/>
    <row r="238" ht="28.5" customHeight="1" x14ac:dyDescent="0.2"/>
    <row r="239" ht="28.5" customHeight="1" x14ac:dyDescent="0.2"/>
    <row r="240" ht="28.5" customHeight="1" x14ac:dyDescent="0.2"/>
    <row r="241" ht="28.5" customHeight="1" x14ac:dyDescent="0.2"/>
    <row r="242" ht="28.5" customHeight="1" x14ac:dyDescent="0.2"/>
    <row r="243" ht="28.5" customHeight="1" x14ac:dyDescent="0.2"/>
    <row r="244" ht="28.5" customHeight="1" x14ac:dyDescent="0.2"/>
    <row r="245" ht="28.5" customHeight="1" x14ac:dyDescent="0.2"/>
    <row r="246" ht="28.5" customHeight="1" x14ac:dyDescent="0.2"/>
    <row r="247" ht="28.5" customHeight="1" x14ac:dyDescent="0.2"/>
    <row r="248" ht="28.5" customHeight="1" x14ac:dyDescent="0.2"/>
    <row r="249" ht="28.5" customHeight="1" x14ac:dyDescent="0.2"/>
    <row r="250" ht="28.5" customHeight="1" x14ac:dyDescent="0.2"/>
    <row r="251" ht="28.5" customHeight="1" x14ac:dyDescent="0.2"/>
    <row r="252" ht="28.5" customHeight="1" x14ac:dyDescent="0.2"/>
    <row r="253" ht="28.5" customHeight="1" x14ac:dyDescent="0.2"/>
    <row r="254" ht="28.5" customHeight="1" x14ac:dyDescent="0.2"/>
    <row r="255" ht="28.5" customHeight="1" x14ac:dyDescent="0.2"/>
    <row r="256" ht="28.5" customHeight="1" x14ac:dyDescent="0.2"/>
    <row r="257" ht="28.5" customHeight="1" x14ac:dyDescent="0.2"/>
    <row r="258" ht="28.5" customHeight="1" x14ac:dyDescent="0.2"/>
    <row r="259" ht="28.5" customHeight="1" x14ac:dyDescent="0.2"/>
    <row r="260" ht="28.5" customHeight="1" x14ac:dyDescent="0.2"/>
    <row r="261" ht="28.5" customHeight="1" x14ac:dyDescent="0.2"/>
    <row r="262" ht="28.5" customHeight="1" x14ac:dyDescent="0.2"/>
    <row r="263" ht="28.5" customHeight="1" x14ac:dyDescent="0.2"/>
    <row r="264" ht="28.5" customHeight="1" x14ac:dyDescent="0.2"/>
    <row r="265" ht="28.5" customHeight="1" x14ac:dyDescent="0.2"/>
    <row r="266" ht="28.5" customHeight="1" x14ac:dyDescent="0.2"/>
    <row r="267" ht="28.5" customHeight="1" x14ac:dyDescent="0.2"/>
    <row r="268" ht="28.5" customHeight="1" x14ac:dyDescent="0.2"/>
    <row r="269" ht="28.5" customHeight="1" x14ac:dyDescent="0.2"/>
    <row r="270" ht="28.5" customHeight="1" x14ac:dyDescent="0.2"/>
    <row r="271" ht="28.5" customHeight="1" x14ac:dyDescent="0.2"/>
    <row r="272" ht="28.5" customHeight="1" x14ac:dyDescent="0.2"/>
    <row r="273" ht="28.5" customHeight="1" x14ac:dyDescent="0.2"/>
    <row r="274" ht="28.5" customHeight="1" x14ac:dyDescent="0.2"/>
    <row r="275" ht="28.5" customHeight="1" x14ac:dyDescent="0.2"/>
    <row r="276" ht="28.5" customHeight="1" x14ac:dyDescent="0.2"/>
    <row r="277" ht="28.5" customHeight="1" x14ac:dyDescent="0.2"/>
    <row r="278" ht="28.5" customHeight="1" x14ac:dyDescent="0.2"/>
    <row r="279" ht="28.5" customHeight="1" x14ac:dyDescent="0.2"/>
    <row r="280" ht="28.5" customHeight="1" x14ac:dyDescent="0.2"/>
    <row r="281" ht="28.5" customHeight="1" x14ac:dyDescent="0.2"/>
    <row r="282" ht="28.5" customHeight="1" x14ac:dyDescent="0.2"/>
    <row r="283" ht="28.5" customHeight="1" x14ac:dyDescent="0.2"/>
    <row r="284" ht="28.5" customHeight="1" x14ac:dyDescent="0.2"/>
    <row r="285" ht="28.5" customHeight="1" x14ac:dyDescent="0.2"/>
    <row r="286" ht="28.5" customHeight="1" x14ac:dyDescent="0.2"/>
    <row r="287" ht="28.5" customHeight="1" x14ac:dyDescent="0.2"/>
    <row r="288" ht="28.5" customHeight="1" x14ac:dyDescent="0.2"/>
    <row r="289" ht="28.5" customHeight="1" x14ac:dyDescent="0.2"/>
    <row r="290" ht="28.5" customHeight="1" x14ac:dyDescent="0.2"/>
    <row r="291" ht="28.5" customHeight="1" x14ac:dyDescent="0.2"/>
    <row r="292" ht="28.5" customHeight="1" x14ac:dyDescent="0.2"/>
    <row r="293" ht="28.5" customHeight="1" x14ac:dyDescent="0.2"/>
    <row r="294" ht="28.5" customHeight="1" x14ac:dyDescent="0.2"/>
    <row r="295" ht="28.5" customHeight="1" x14ac:dyDescent="0.2"/>
    <row r="296" ht="28.5" customHeight="1" x14ac:dyDescent="0.2"/>
    <row r="297" ht="28.5" customHeight="1" x14ac:dyDescent="0.2"/>
    <row r="298" ht="28.5" customHeight="1" x14ac:dyDescent="0.2"/>
    <row r="299" ht="28.5" customHeight="1" x14ac:dyDescent="0.2"/>
    <row r="300" ht="28.5" customHeight="1" x14ac:dyDescent="0.2"/>
    <row r="301" ht="28.5" customHeight="1" x14ac:dyDescent="0.2"/>
    <row r="302" ht="28.5" customHeight="1" x14ac:dyDescent="0.2"/>
    <row r="303" ht="28.5" customHeight="1" x14ac:dyDescent="0.2"/>
    <row r="304" ht="28.5" customHeight="1" x14ac:dyDescent="0.2"/>
    <row r="305" ht="28.5" customHeight="1" x14ac:dyDescent="0.2"/>
    <row r="306" ht="28.5" customHeight="1" x14ac:dyDescent="0.2"/>
    <row r="307" ht="28.5" customHeight="1" x14ac:dyDescent="0.2"/>
    <row r="308" ht="28.5" customHeight="1" x14ac:dyDescent="0.2"/>
    <row r="309" ht="28.5" customHeight="1" x14ac:dyDescent="0.2"/>
    <row r="310" ht="28.5" customHeight="1" x14ac:dyDescent="0.2"/>
    <row r="311" ht="28.5" customHeight="1" x14ac:dyDescent="0.2"/>
    <row r="312" ht="28.5" customHeight="1" x14ac:dyDescent="0.2"/>
    <row r="313" ht="28.5" customHeight="1" x14ac:dyDescent="0.2"/>
    <row r="314" ht="28.5" customHeight="1" x14ac:dyDescent="0.2"/>
    <row r="315" ht="28.5" customHeight="1" x14ac:dyDescent="0.2"/>
    <row r="316" ht="28.5" customHeight="1" x14ac:dyDescent="0.2"/>
    <row r="317" ht="28.5" customHeight="1" x14ac:dyDescent="0.2"/>
    <row r="318" ht="28.5" customHeight="1" x14ac:dyDescent="0.2"/>
    <row r="319" ht="28.5" customHeight="1" x14ac:dyDescent="0.2"/>
    <row r="320" ht="28.5" customHeight="1" x14ac:dyDescent="0.2"/>
    <row r="321" ht="28.5" customHeight="1" x14ac:dyDescent="0.2"/>
    <row r="322" ht="28.5" customHeight="1" x14ac:dyDescent="0.2"/>
    <row r="323" ht="28.5" customHeight="1" x14ac:dyDescent="0.2"/>
    <row r="324" ht="28.5" customHeight="1" x14ac:dyDescent="0.2"/>
    <row r="325" ht="28.5" customHeight="1" x14ac:dyDescent="0.2"/>
    <row r="326" ht="28.5" customHeight="1" x14ac:dyDescent="0.2"/>
    <row r="327" ht="28.5" customHeight="1" x14ac:dyDescent="0.2"/>
    <row r="328" ht="28.5" customHeight="1" x14ac:dyDescent="0.2"/>
    <row r="329" ht="28.5" customHeight="1" x14ac:dyDescent="0.2"/>
    <row r="330" ht="28.5" customHeight="1" x14ac:dyDescent="0.2"/>
    <row r="331" ht="28.5" customHeight="1" x14ac:dyDescent="0.2"/>
    <row r="332" ht="28.5" customHeight="1" x14ac:dyDescent="0.2"/>
    <row r="333" ht="28.5" customHeight="1" x14ac:dyDescent="0.2"/>
    <row r="334" ht="28.5" customHeight="1" x14ac:dyDescent="0.2"/>
    <row r="335" ht="28.5" customHeight="1" x14ac:dyDescent="0.2"/>
    <row r="336" ht="28.5" customHeight="1" x14ac:dyDescent="0.2"/>
    <row r="337" ht="28.5" customHeight="1" x14ac:dyDescent="0.2"/>
    <row r="338" ht="28.5" customHeight="1" x14ac:dyDescent="0.2"/>
    <row r="339" ht="28.5" customHeight="1" x14ac:dyDescent="0.2"/>
    <row r="340" ht="28.5" customHeight="1" x14ac:dyDescent="0.2"/>
    <row r="341" ht="28.5" customHeight="1" x14ac:dyDescent="0.2"/>
    <row r="342" ht="28.5" customHeight="1" x14ac:dyDescent="0.2"/>
    <row r="343" ht="28.5" customHeight="1" x14ac:dyDescent="0.2"/>
    <row r="344" ht="28.5" customHeight="1" x14ac:dyDescent="0.2"/>
    <row r="345" ht="28.5" customHeight="1" x14ac:dyDescent="0.2"/>
    <row r="346" ht="28.5" customHeight="1" x14ac:dyDescent="0.2"/>
    <row r="347" ht="28.5" customHeight="1" x14ac:dyDescent="0.2"/>
    <row r="348" ht="28.5" customHeight="1" x14ac:dyDescent="0.2"/>
    <row r="349" ht="28.5" customHeight="1" x14ac:dyDescent="0.2"/>
    <row r="350" ht="28.5" customHeight="1" x14ac:dyDescent="0.2"/>
    <row r="351" ht="28.5" customHeight="1" x14ac:dyDescent="0.2"/>
    <row r="352" ht="28.5" customHeight="1" x14ac:dyDescent="0.2"/>
    <row r="353" ht="28.5" customHeight="1" x14ac:dyDescent="0.2"/>
    <row r="354" ht="28.5" customHeight="1" x14ac:dyDescent="0.2"/>
    <row r="355" ht="28.5" customHeight="1" x14ac:dyDescent="0.2"/>
    <row r="356" ht="28.5" customHeight="1" x14ac:dyDescent="0.2"/>
    <row r="357" ht="28.5" customHeight="1" x14ac:dyDescent="0.2"/>
    <row r="358" ht="28.5" customHeight="1" x14ac:dyDescent="0.2"/>
    <row r="359" ht="28.5" customHeight="1" x14ac:dyDescent="0.2"/>
    <row r="360" ht="28.5" customHeight="1" x14ac:dyDescent="0.2"/>
    <row r="361" ht="28.5" customHeight="1" x14ac:dyDescent="0.2"/>
    <row r="362" ht="28.5" customHeight="1" x14ac:dyDescent="0.2"/>
    <row r="363" ht="28.5" customHeight="1" x14ac:dyDescent="0.2"/>
    <row r="364" ht="28.5" customHeight="1" x14ac:dyDescent="0.2"/>
    <row r="365" ht="28.5" customHeight="1" x14ac:dyDescent="0.2"/>
    <row r="366" ht="28.5" customHeight="1" x14ac:dyDescent="0.2"/>
    <row r="367" ht="28.5" customHeight="1" x14ac:dyDescent="0.2"/>
    <row r="368" ht="28.5" customHeight="1" x14ac:dyDescent="0.2"/>
    <row r="369" ht="28.5" customHeight="1" x14ac:dyDescent="0.2"/>
    <row r="370" ht="28.5" customHeight="1" x14ac:dyDescent="0.2"/>
    <row r="371" ht="28.5" customHeight="1" x14ac:dyDescent="0.2"/>
    <row r="372" ht="28.5" customHeight="1" x14ac:dyDescent="0.2"/>
    <row r="373" ht="28.5" customHeight="1" x14ac:dyDescent="0.2"/>
    <row r="374" ht="28.5" customHeight="1" x14ac:dyDescent="0.2"/>
    <row r="375" ht="28.5" customHeight="1" x14ac:dyDescent="0.2"/>
    <row r="376" ht="28.5" customHeight="1" x14ac:dyDescent="0.2"/>
    <row r="377" ht="28.5" customHeight="1" x14ac:dyDescent="0.2"/>
    <row r="378" ht="28.5" customHeight="1" x14ac:dyDescent="0.2"/>
    <row r="379" ht="28.5" customHeight="1" x14ac:dyDescent="0.2"/>
    <row r="380" ht="28.5" customHeight="1" x14ac:dyDescent="0.2"/>
    <row r="381" ht="28.5" customHeight="1" x14ac:dyDescent="0.2"/>
    <row r="382" ht="28.5" customHeight="1" x14ac:dyDescent="0.2"/>
    <row r="383" ht="28.5" customHeight="1" x14ac:dyDescent="0.2"/>
    <row r="384" ht="28.5" customHeight="1" x14ac:dyDescent="0.2"/>
    <row r="385" ht="28.5" customHeight="1" x14ac:dyDescent="0.2"/>
    <row r="386" ht="28.5" customHeight="1" x14ac:dyDescent="0.2"/>
    <row r="387" ht="28.5" customHeight="1" x14ac:dyDescent="0.2"/>
    <row r="388" ht="28.5" customHeight="1" x14ac:dyDescent="0.2"/>
    <row r="389" ht="28.5" customHeight="1" x14ac:dyDescent="0.2"/>
    <row r="390" ht="28.5" customHeight="1" x14ac:dyDescent="0.2"/>
    <row r="391" ht="28.5" customHeight="1" x14ac:dyDescent="0.2"/>
    <row r="392" ht="28.5" customHeight="1" x14ac:dyDescent="0.2"/>
    <row r="393" ht="28.5" customHeight="1" x14ac:dyDescent="0.2"/>
    <row r="394" ht="28.5" customHeight="1" x14ac:dyDescent="0.2"/>
    <row r="395" ht="28.5" customHeight="1" x14ac:dyDescent="0.2"/>
    <row r="396" ht="28.5" customHeight="1" x14ac:dyDescent="0.2"/>
    <row r="397" ht="28.5" customHeight="1" x14ac:dyDescent="0.2"/>
    <row r="398" ht="28.5" customHeight="1" x14ac:dyDescent="0.2"/>
    <row r="399" ht="28.5" customHeight="1" x14ac:dyDescent="0.2"/>
    <row r="400" ht="28.5" customHeight="1" x14ac:dyDescent="0.2"/>
    <row r="401" ht="28.5" customHeight="1" x14ac:dyDescent="0.2"/>
    <row r="402" ht="28.5" customHeight="1" x14ac:dyDescent="0.2"/>
    <row r="403" ht="28.5" customHeight="1" x14ac:dyDescent="0.2"/>
    <row r="404" ht="28.5" customHeight="1" x14ac:dyDescent="0.2"/>
    <row r="405" ht="28.5" customHeight="1" x14ac:dyDescent="0.2"/>
    <row r="406" ht="28.5" customHeight="1" x14ac:dyDescent="0.2"/>
    <row r="407" ht="28.5" customHeight="1" x14ac:dyDescent="0.2"/>
    <row r="408" ht="28.5" customHeight="1" x14ac:dyDescent="0.2"/>
    <row r="409" ht="28.5" customHeight="1" x14ac:dyDescent="0.2"/>
    <row r="410" ht="28.5" customHeight="1" x14ac:dyDescent="0.2"/>
    <row r="411" ht="28.5" customHeight="1" x14ac:dyDescent="0.2"/>
    <row r="412" ht="28.5" customHeight="1" x14ac:dyDescent="0.2"/>
    <row r="413" ht="28.5" customHeight="1" x14ac:dyDescent="0.2"/>
    <row r="414" ht="28.5" customHeight="1" x14ac:dyDescent="0.2"/>
    <row r="415" ht="28.5" customHeight="1" x14ac:dyDescent="0.2"/>
    <row r="416" ht="28.5" customHeight="1" x14ac:dyDescent="0.2"/>
    <row r="417" ht="28.5" customHeight="1" x14ac:dyDescent="0.2"/>
    <row r="418" ht="28.5" customHeight="1" x14ac:dyDescent="0.2"/>
    <row r="419" ht="28.5" customHeight="1" x14ac:dyDescent="0.2"/>
    <row r="420" ht="28.5" customHeight="1" x14ac:dyDescent="0.2"/>
    <row r="421" ht="28.5" customHeight="1" x14ac:dyDescent="0.2"/>
    <row r="422" ht="28.5" customHeight="1" x14ac:dyDescent="0.2"/>
    <row r="423" ht="28.5" customHeight="1" x14ac:dyDescent="0.2"/>
    <row r="424" ht="28.5" customHeight="1" x14ac:dyDescent="0.2"/>
    <row r="425" ht="28.5" customHeight="1" x14ac:dyDescent="0.2"/>
    <row r="426" ht="28.5" customHeight="1" x14ac:dyDescent="0.2"/>
    <row r="427" ht="28.5" customHeight="1" x14ac:dyDescent="0.2"/>
    <row r="428" ht="28.5" customHeight="1" x14ac:dyDescent="0.2"/>
    <row r="429" ht="28.5" customHeight="1" x14ac:dyDescent="0.2"/>
    <row r="430" ht="28.5" customHeight="1" x14ac:dyDescent="0.2"/>
    <row r="431" ht="28.5" customHeight="1" x14ac:dyDescent="0.2"/>
    <row r="432" ht="28.5" customHeight="1" x14ac:dyDescent="0.2"/>
    <row r="433" ht="28.5" customHeight="1" x14ac:dyDescent="0.2"/>
    <row r="434" ht="28.5" customHeight="1" x14ac:dyDescent="0.2"/>
    <row r="435" ht="28.5" customHeight="1" x14ac:dyDescent="0.2"/>
    <row r="436" ht="28.5" customHeight="1" x14ac:dyDescent="0.2"/>
    <row r="437" ht="28.5" customHeight="1" x14ac:dyDescent="0.2"/>
    <row r="438" ht="28.5" customHeight="1" x14ac:dyDescent="0.2"/>
    <row r="439" ht="28.5" customHeight="1" x14ac:dyDescent="0.2"/>
    <row r="440" ht="28.5" customHeight="1" x14ac:dyDescent="0.2"/>
    <row r="441" ht="28.5" customHeight="1" x14ac:dyDescent="0.2"/>
    <row r="442" ht="28.5" customHeight="1" x14ac:dyDescent="0.2"/>
    <row r="443" ht="28.5" customHeight="1" x14ac:dyDescent="0.2"/>
    <row r="444" ht="28.5" customHeight="1" x14ac:dyDescent="0.2"/>
    <row r="445" ht="28.5" customHeight="1" x14ac:dyDescent="0.2"/>
    <row r="446" ht="28.5" customHeight="1" x14ac:dyDescent="0.2"/>
    <row r="447" ht="28.5" customHeight="1" x14ac:dyDescent="0.2"/>
    <row r="448" ht="28.5" customHeight="1" x14ac:dyDescent="0.2"/>
    <row r="449" ht="28.5" customHeight="1" x14ac:dyDescent="0.2"/>
    <row r="450" ht="28.5" customHeight="1" x14ac:dyDescent="0.2"/>
    <row r="451" ht="28.5" customHeight="1" x14ac:dyDescent="0.2"/>
    <row r="452" ht="28.5" customHeight="1" x14ac:dyDescent="0.2"/>
    <row r="453" ht="28.5" customHeight="1" x14ac:dyDescent="0.2"/>
    <row r="454" ht="28.5" customHeight="1" x14ac:dyDescent="0.2"/>
    <row r="455" ht="28.5" customHeight="1" x14ac:dyDescent="0.2"/>
    <row r="456" ht="28.5" customHeight="1" x14ac:dyDescent="0.2"/>
    <row r="457" ht="28.5" customHeight="1" x14ac:dyDescent="0.2"/>
    <row r="458" ht="28.5" customHeight="1" x14ac:dyDescent="0.2"/>
    <row r="459" ht="28.5" customHeight="1" x14ac:dyDescent="0.2"/>
    <row r="460" ht="28.5" customHeight="1" x14ac:dyDescent="0.2"/>
    <row r="461" ht="28.5" customHeight="1" x14ac:dyDescent="0.2"/>
    <row r="462" ht="28.5" customHeight="1" x14ac:dyDescent="0.2"/>
    <row r="463" ht="28.5" customHeight="1" x14ac:dyDescent="0.2"/>
    <row r="464" ht="28.5" customHeight="1" x14ac:dyDescent="0.2"/>
    <row r="465" ht="28.5" customHeight="1" x14ac:dyDescent="0.2"/>
    <row r="466" ht="28.5" customHeight="1" x14ac:dyDescent="0.2"/>
    <row r="467" ht="28.5" customHeight="1" x14ac:dyDescent="0.2"/>
    <row r="468" ht="28.5" customHeight="1" x14ac:dyDescent="0.2"/>
    <row r="469" ht="28.5" customHeight="1" x14ac:dyDescent="0.2"/>
    <row r="470" ht="28.5" customHeight="1" x14ac:dyDescent="0.2"/>
    <row r="471" ht="28.5" customHeight="1" x14ac:dyDescent="0.2"/>
    <row r="472" ht="28.5" customHeight="1" x14ac:dyDescent="0.2"/>
    <row r="473" ht="28.5" customHeight="1" x14ac:dyDescent="0.2"/>
    <row r="474" ht="28.5" customHeight="1" x14ac:dyDescent="0.2"/>
    <row r="475" ht="28.5" customHeight="1" x14ac:dyDescent="0.2"/>
    <row r="476" ht="28.5" customHeight="1" x14ac:dyDescent="0.2"/>
    <row r="477" ht="28.5" customHeight="1" x14ac:dyDescent="0.2"/>
    <row r="478" ht="28.5" customHeight="1" x14ac:dyDescent="0.2"/>
    <row r="479" ht="28.5" customHeight="1" x14ac:dyDescent="0.2"/>
    <row r="480" ht="28.5" customHeight="1" x14ac:dyDescent="0.2"/>
    <row r="481" ht="28.5" customHeight="1" x14ac:dyDescent="0.2"/>
    <row r="482" ht="28.5" customHeight="1" x14ac:dyDescent="0.2"/>
    <row r="483" ht="28.5" customHeight="1" x14ac:dyDescent="0.2"/>
    <row r="484" ht="28.5" customHeight="1" x14ac:dyDescent="0.2"/>
    <row r="485" ht="28.5" customHeight="1" x14ac:dyDescent="0.2"/>
    <row r="486" ht="28.5" customHeight="1" x14ac:dyDescent="0.2"/>
    <row r="487" ht="28.5" customHeight="1" x14ac:dyDescent="0.2"/>
    <row r="488" ht="28.5" customHeight="1" x14ac:dyDescent="0.2"/>
    <row r="489" ht="28.5" customHeight="1" x14ac:dyDescent="0.2"/>
    <row r="490" ht="28.5" customHeight="1" x14ac:dyDescent="0.2"/>
    <row r="491" ht="28.5" customHeight="1" x14ac:dyDescent="0.2"/>
    <row r="492" ht="28.5" customHeight="1" x14ac:dyDescent="0.2"/>
    <row r="493" ht="28.5" customHeight="1" x14ac:dyDescent="0.2"/>
    <row r="494" ht="28.5" customHeight="1" x14ac:dyDescent="0.2"/>
    <row r="495" ht="28.5" customHeight="1" x14ac:dyDescent="0.2"/>
    <row r="496" ht="28.5" customHeight="1" x14ac:dyDescent="0.2"/>
    <row r="497" ht="28.5" customHeight="1" x14ac:dyDescent="0.2"/>
    <row r="498" ht="28.5" customHeight="1" x14ac:dyDescent="0.2"/>
    <row r="499" ht="28.5" customHeight="1" x14ac:dyDescent="0.2"/>
    <row r="500" ht="28.5" customHeight="1" x14ac:dyDescent="0.2"/>
    <row r="501" ht="28.5" customHeight="1" x14ac:dyDescent="0.2"/>
    <row r="502" ht="28.5" customHeight="1" x14ac:dyDescent="0.2"/>
    <row r="503" ht="28.5" customHeight="1" x14ac:dyDescent="0.2"/>
    <row r="504" ht="28.5" customHeight="1" x14ac:dyDescent="0.2"/>
    <row r="505" ht="28.5" customHeight="1" x14ac:dyDescent="0.2"/>
    <row r="506" ht="28.5" customHeight="1" x14ac:dyDescent="0.2"/>
    <row r="507" ht="28.5" customHeight="1" x14ac:dyDescent="0.2"/>
    <row r="508" ht="28.5" customHeight="1" x14ac:dyDescent="0.2"/>
    <row r="509" ht="28.5" customHeight="1" x14ac:dyDescent="0.2"/>
    <row r="510" ht="28.5" customHeight="1" x14ac:dyDescent="0.2"/>
    <row r="511" ht="28.5" customHeight="1" x14ac:dyDescent="0.2"/>
    <row r="512" ht="28.5" customHeight="1" x14ac:dyDescent="0.2"/>
    <row r="513" ht="28.5" customHeight="1" x14ac:dyDescent="0.2"/>
    <row r="514" ht="28.5" customHeight="1" x14ac:dyDescent="0.2"/>
    <row r="515" ht="28.5" customHeight="1" x14ac:dyDescent="0.2"/>
    <row r="516" ht="28.5" customHeight="1" x14ac:dyDescent="0.2"/>
    <row r="517" ht="28.5" customHeight="1" x14ac:dyDescent="0.2"/>
    <row r="518" ht="28.5" customHeight="1" x14ac:dyDescent="0.2"/>
    <row r="519" ht="28.5" customHeight="1" x14ac:dyDescent="0.2"/>
    <row r="520" ht="28.5" customHeight="1" x14ac:dyDescent="0.2"/>
    <row r="521" ht="28.5" customHeight="1" x14ac:dyDescent="0.2"/>
    <row r="522" ht="28.5" customHeight="1" x14ac:dyDescent="0.2"/>
    <row r="523" ht="28.5" customHeight="1" x14ac:dyDescent="0.2"/>
    <row r="524" ht="28.5" customHeight="1" x14ac:dyDescent="0.2"/>
    <row r="525" ht="28.5" customHeight="1" x14ac:dyDescent="0.2"/>
    <row r="526" ht="28.5" customHeight="1" x14ac:dyDescent="0.2"/>
    <row r="527" ht="28.5" customHeight="1" x14ac:dyDescent="0.2"/>
    <row r="528" ht="28.5" customHeight="1" x14ac:dyDescent="0.2"/>
    <row r="529" ht="28.5" customHeight="1" x14ac:dyDescent="0.2"/>
    <row r="530" ht="28.5" customHeight="1" x14ac:dyDescent="0.2"/>
    <row r="531" ht="28.5" customHeight="1" x14ac:dyDescent="0.2"/>
    <row r="532" ht="28.5" customHeight="1" x14ac:dyDescent="0.2"/>
    <row r="533" ht="28.5" customHeight="1" x14ac:dyDescent="0.2"/>
    <row r="534" ht="28.5" customHeight="1" x14ac:dyDescent="0.2"/>
    <row r="535" ht="28.5" customHeight="1" x14ac:dyDescent="0.2"/>
    <row r="536" ht="28.5" customHeight="1" x14ac:dyDescent="0.2"/>
    <row r="537" ht="28.5" customHeight="1" x14ac:dyDescent="0.2"/>
    <row r="538" ht="28.5" customHeight="1" x14ac:dyDescent="0.2"/>
    <row r="539" ht="28.5" customHeight="1" x14ac:dyDescent="0.2"/>
    <row r="540" ht="28.5" customHeight="1" x14ac:dyDescent="0.2"/>
    <row r="541" ht="28.5" customHeight="1" x14ac:dyDescent="0.2"/>
    <row r="542" ht="28.5" customHeight="1" x14ac:dyDescent="0.2"/>
    <row r="543" ht="28.5" customHeight="1" x14ac:dyDescent="0.2"/>
    <row r="544" ht="28.5" customHeight="1" x14ac:dyDescent="0.2"/>
    <row r="545" ht="28.5" customHeight="1" x14ac:dyDescent="0.2"/>
    <row r="546" ht="28.5" customHeight="1" x14ac:dyDescent="0.2"/>
    <row r="547" ht="28.5" customHeight="1" x14ac:dyDescent="0.2"/>
    <row r="548" ht="28.5" customHeight="1" x14ac:dyDescent="0.2"/>
    <row r="549" ht="28.5" customHeight="1" x14ac:dyDescent="0.2"/>
    <row r="550" ht="28.5" customHeight="1" x14ac:dyDescent="0.2"/>
    <row r="551" ht="28.5" customHeight="1" x14ac:dyDescent="0.2"/>
    <row r="552" ht="28.5" customHeight="1" x14ac:dyDescent="0.2"/>
    <row r="553" ht="28.5" customHeight="1" x14ac:dyDescent="0.2"/>
    <row r="554" ht="28.5" customHeight="1" x14ac:dyDescent="0.2"/>
    <row r="555" ht="28.5" customHeight="1" x14ac:dyDescent="0.2"/>
    <row r="556" ht="28.5" customHeight="1" x14ac:dyDescent="0.2"/>
    <row r="557" ht="28.5" customHeight="1" x14ac:dyDescent="0.2"/>
    <row r="558" ht="28.5" customHeight="1" x14ac:dyDescent="0.2"/>
    <row r="559" ht="28.5" customHeight="1" x14ac:dyDescent="0.2"/>
    <row r="560" ht="28.5" customHeight="1" x14ac:dyDescent="0.2"/>
    <row r="561" ht="28.5" customHeight="1" x14ac:dyDescent="0.2"/>
    <row r="562" ht="28.5" customHeight="1" x14ac:dyDescent="0.2"/>
    <row r="563" ht="28.5" customHeight="1" x14ac:dyDescent="0.2"/>
    <row r="564" ht="28.5" customHeight="1" x14ac:dyDescent="0.2"/>
    <row r="565" ht="28.5" customHeight="1" x14ac:dyDescent="0.2"/>
    <row r="566" ht="28.5" customHeight="1" x14ac:dyDescent="0.2"/>
    <row r="567" ht="28.5" customHeight="1" x14ac:dyDescent="0.2"/>
    <row r="568" ht="28.5" customHeight="1" x14ac:dyDescent="0.2"/>
    <row r="569" ht="28.5" customHeight="1" x14ac:dyDescent="0.2"/>
    <row r="570" ht="28.5" customHeight="1" x14ac:dyDescent="0.2"/>
    <row r="571" ht="28.5" customHeight="1" x14ac:dyDescent="0.2"/>
    <row r="572" ht="28.5" customHeight="1" x14ac:dyDescent="0.2"/>
    <row r="573" ht="28.5" customHeight="1" x14ac:dyDescent="0.2"/>
    <row r="574" ht="28.5" customHeight="1" x14ac:dyDescent="0.2"/>
    <row r="575" ht="28.5" customHeight="1" x14ac:dyDescent="0.2"/>
    <row r="576" ht="28.5" customHeight="1" x14ac:dyDescent="0.2"/>
    <row r="577" ht="28.5" customHeight="1" x14ac:dyDescent="0.2"/>
    <row r="578" ht="28.5" customHeight="1" x14ac:dyDescent="0.2"/>
    <row r="579" ht="28.5" customHeight="1" x14ac:dyDescent="0.2"/>
    <row r="580" ht="28.5" customHeight="1" x14ac:dyDescent="0.2"/>
    <row r="581" ht="28.5" customHeight="1" x14ac:dyDescent="0.2"/>
    <row r="582" ht="28.5" customHeight="1" x14ac:dyDescent="0.2"/>
    <row r="583" ht="28.5" customHeight="1" x14ac:dyDescent="0.2"/>
    <row r="584" ht="28.5" customHeight="1" x14ac:dyDescent="0.2"/>
    <row r="585" ht="28.5" customHeight="1" x14ac:dyDescent="0.2"/>
    <row r="586" ht="28.5" customHeight="1" x14ac:dyDescent="0.2"/>
    <row r="587" ht="28.5" customHeight="1" x14ac:dyDescent="0.2"/>
    <row r="588" ht="28.5" customHeight="1" x14ac:dyDescent="0.2"/>
    <row r="589" ht="28.5" customHeight="1" x14ac:dyDescent="0.2"/>
    <row r="590" ht="28.5" customHeight="1" x14ac:dyDescent="0.2"/>
    <row r="591" ht="28.5" customHeight="1" x14ac:dyDescent="0.2"/>
    <row r="592" ht="28.5" customHeight="1" x14ac:dyDescent="0.2"/>
    <row r="593" ht="28.5" customHeight="1" x14ac:dyDescent="0.2"/>
    <row r="594" ht="28.5" customHeight="1" x14ac:dyDescent="0.2"/>
    <row r="595" ht="28.5" customHeight="1" x14ac:dyDescent="0.2"/>
    <row r="596" ht="28.5" customHeight="1" x14ac:dyDescent="0.2"/>
    <row r="597" ht="28.5" customHeight="1" x14ac:dyDescent="0.2"/>
    <row r="598" ht="28.5" customHeight="1" x14ac:dyDescent="0.2"/>
    <row r="599" ht="28.5" customHeight="1" x14ac:dyDescent="0.2"/>
    <row r="600" ht="28.5" customHeight="1" x14ac:dyDescent="0.2"/>
    <row r="601" ht="28.5" customHeight="1" x14ac:dyDescent="0.2"/>
    <row r="602" ht="28.5" customHeight="1" x14ac:dyDescent="0.2"/>
    <row r="603" ht="28.5" customHeight="1" x14ac:dyDescent="0.2"/>
    <row r="604" ht="28.5" customHeight="1" x14ac:dyDescent="0.2"/>
    <row r="605" ht="28.5" customHeight="1" x14ac:dyDescent="0.2"/>
    <row r="606" ht="28.5" customHeight="1" x14ac:dyDescent="0.2"/>
    <row r="607" ht="28.5" customHeight="1" x14ac:dyDescent="0.2"/>
    <row r="608" ht="28.5" customHeight="1" x14ac:dyDescent="0.2"/>
    <row r="609" ht="28.5" customHeight="1" x14ac:dyDescent="0.2"/>
    <row r="610" ht="28.5" customHeight="1" x14ac:dyDescent="0.2"/>
    <row r="611" ht="28.5" customHeight="1" x14ac:dyDescent="0.2"/>
    <row r="612" ht="28.5" customHeight="1" x14ac:dyDescent="0.2"/>
    <row r="613" ht="28.5" customHeight="1" x14ac:dyDescent="0.2"/>
    <row r="614" ht="28.5" customHeight="1" x14ac:dyDescent="0.2"/>
    <row r="615" ht="28.5" customHeight="1" x14ac:dyDescent="0.2"/>
    <row r="616" ht="28.5" customHeight="1" x14ac:dyDescent="0.2"/>
    <row r="617" ht="28.5" customHeight="1" x14ac:dyDescent="0.2"/>
    <row r="618" ht="28.5" customHeight="1" x14ac:dyDescent="0.2"/>
    <row r="619" ht="28.5" customHeight="1" x14ac:dyDescent="0.2"/>
    <row r="620" ht="28.5" customHeight="1" x14ac:dyDescent="0.2"/>
    <row r="621" ht="28.5" customHeight="1" x14ac:dyDescent="0.2"/>
    <row r="622" ht="28.5" customHeight="1" x14ac:dyDescent="0.2"/>
    <row r="623" ht="28.5" customHeight="1" x14ac:dyDescent="0.2"/>
    <row r="624" ht="28.5" customHeight="1" x14ac:dyDescent="0.2"/>
    <row r="625" ht="28.5" customHeight="1" x14ac:dyDescent="0.2"/>
    <row r="626" ht="28.5" customHeight="1" x14ac:dyDescent="0.2"/>
    <row r="627" ht="28.5" customHeight="1" x14ac:dyDescent="0.2"/>
    <row r="628" ht="28.5" customHeight="1" x14ac:dyDescent="0.2"/>
    <row r="629" ht="28.5" customHeight="1" x14ac:dyDescent="0.2"/>
    <row r="630" ht="28.5" customHeight="1" x14ac:dyDescent="0.2"/>
    <row r="631" ht="28.5" customHeight="1" x14ac:dyDescent="0.2"/>
    <row r="632" ht="28.5" customHeight="1" x14ac:dyDescent="0.2"/>
    <row r="633" ht="28.5" customHeight="1" x14ac:dyDescent="0.2"/>
    <row r="634" ht="28.5" customHeight="1" x14ac:dyDescent="0.2"/>
    <row r="635" ht="28.5" customHeight="1" x14ac:dyDescent="0.2"/>
    <row r="636" ht="28.5" customHeight="1" x14ac:dyDescent="0.2"/>
    <row r="637" ht="28.5" customHeight="1" x14ac:dyDescent="0.2"/>
    <row r="638" ht="28.5" customHeight="1" x14ac:dyDescent="0.2"/>
    <row r="639" ht="28.5" customHeight="1" x14ac:dyDescent="0.2"/>
    <row r="640" ht="28.5" customHeight="1" x14ac:dyDescent="0.2"/>
    <row r="641" ht="28.5" customHeight="1" x14ac:dyDescent="0.2"/>
    <row r="642" ht="28.5" customHeight="1" x14ac:dyDescent="0.2"/>
    <row r="643" ht="28.5" customHeight="1" x14ac:dyDescent="0.2"/>
    <row r="644" ht="28.5" customHeight="1" x14ac:dyDescent="0.2"/>
    <row r="645" ht="28.5" customHeight="1" x14ac:dyDescent="0.2"/>
    <row r="646" ht="28.5" customHeight="1" x14ac:dyDescent="0.2"/>
    <row r="647" ht="28.5" customHeight="1" x14ac:dyDescent="0.2"/>
    <row r="648" ht="28.5" customHeight="1" x14ac:dyDescent="0.2"/>
    <row r="649" ht="28.5" customHeight="1" x14ac:dyDescent="0.2"/>
    <row r="650" ht="28.5" customHeight="1" x14ac:dyDescent="0.2"/>
    <row r="651" ht="28.5" customHeight="1" x14ac:dyDescent="0.2"/>
    <row r="652" ht="28.5" customHeight="1" x14ac:dyDescent="0.2"/>
    <row r="653" ht="28.5" customHeight="1" x14ac:dyDescent="0.2"/>
    <row r="654" ht="28.5" customHeight="1" x14ac:dyDescent="0.2"/>
    <row r="655" ht="28.5" customHeight="1" x14ac:dyDescent="0.2"/>
    <row r="656" ht="28.5" customHeight="1" x14ac:dyDescent="0.2"/>
    <row r="657" ht="28.5" customHeight="1" x14ac:dyDescent="0.2"/>
    <row r="658" ht="28.5" customHeight="1" x14ac:dyDescent="0.2"/>
    <row r="659" ht="28.5" customHeight="1" x14ac:dyDescent="0.2"/>
    <row r="660" ht="28.5" customHeight="1" x14ac:dyDescent="0.2"/>
    <row r="661" ht="28.5" customHeight="1" x14ac:dyDescent="0.2"/>
    <row r="662" ht="28.5" customHeight="1" x14ac:dyDescent="0.2"/>
    <row r="663" ht="28.5" customHeight="1" x14ac:dyDescent="0.2"/>
    <row r="664" ht="28.5" customHeight="1" x14ac:dyDescent="0.2"/>
    <row r="665" ht="28.5" customHeight="1" x14ac:dyDescent="0.2"/>
    <row r="666" ht="28.5" customHeight="1" x14ac:dyDescent="0.2"/>
    <row r="667" ht="28.5" customHeight="1" x14ac:dyDescent="0.2"/>
    <row r="668" ht="28.5" customHeight="1" x14ac:dyDescent="0.2"/>
    <row r="669" ht="28.5" customHeight="1" x14ac:dyDescent="0.2"/>
    <row r="670" ht="28.5" customHeight="1" x14ac:dyDescent="0.2"/>
    <row r="671" ht="28.5" customHeight="1" x14ac:dyDescent="0.2"/>
    <row r="672" ht="28.5" customHeight="1" x14ac:dyDescent="0.2"/>
    <row r="673" ht="28.5" customHeight="1" x14ac:dyDescent="0.2"/>
    <row r="674" ht="28.5" customHeight="1" x14ac:dyDescent="0.2"/>
    <row r="675" ht="28.5" customHeight="1" x14ac:dyDescent="0.2"/>
    <row r="676" ht="28.5" customHeight="1" x14ac:dyDescent="0.2"/>
    <row r="677" ht="28.5" customHeight="1" x14ac:dyDescent="0.2"/>
    <row r="678" ht="28.5" customHeight="1" x14ac:dyDescent="0.2"/>
    <row r="679" ht="28.5" customHeight="1" x14ac:dyDescent="0.2"/>
    <row r="680" ht="28.5" customHeight="1" x14ac:dyDescent="0.2"/>
    <row r="681" ht="28.5" customHeight="1" x14ac:dyDescent="0.2"/>
    <row r="682" ht="28.5" customHeight="1" x14ac:dyDescent="0.2"/>
    <row r="683" ht="28.5" customHeight="1" x14ac:dyDescent="0.2"/>
    <row r="684" ht="28.5" customHeight="1" x14ac:dyDescent="0.2"/>
    <row r="685" ht="28.5" customHeight="1" x14ac:dyDescent="0.2"/>
    <row r="686" ht="28.5" customHeight="1" x14ac:dyDescent="0.2"/>
    <row r="687" ht="28.5" customHeight="1" x14ac:dyDescent="0.2"/>
    <row r="688" ht="28.5" customHeight="1" x14ac:dyDescent="0.2"/>
    <row r="689" ht="28.5" customHeight="1" x14ac:dyDescent="0.2"/>
    <row r="690" ht="28.5" customHeight="1" x14ac:dyDescent="0.2"/>
    <row r="691" ht="28.5" customHeight="1" x14ac:dyDescent="0.2"/>
    <row r="692" ht="28.5" customHeight="1" x14ac:dyDescent="0.2"/>
    <row r="693" ht="28.5" customHeight="1" x14ac:dyDescent="0.2"/>
    <row r="694" ht="28.5" customHeight="1" x14ac:dyDescent="0.2"/>
    <row r="695" ht="28.5" customHeight="1" x14ac:dyDescent="0.2"/>
    <row r="696" ht="28.5" customHeight="1" x14ac:dyDescent="0.2"/>
    <row r="697" ht="28.5" customHeight="1" x14ac:dyDescent="0.2"/>
    <row r="698" ht="28.5" customHeight="1" x14ac:dyDescent="0.2"/>
    <row r="699" ht="28.5" customHeight="1" x14ac:dyDescent="0.2"/>
    <row r="700" ht="28.5" customHeight="1" x14ac:dyDescent="0.2"/>
    <row r="701" ht="28.5" customHeight="1" x14ac:dyDescent="0.2"/>
    <row r="702" ht="28.5" customHeight="1" x14ac:dyDescent="0.2"/>
    <row r="703" ht="28.5" customHeight="1" x14ac:dyDescent="0.2"/>
    <row r="704" ht="28.5" customHeight="1" x14ac:dyDescent="0.2"/>
    <row r="705" ht="28.5" customHeight="1" x14ac:dyDescent="0.2"/>
    <row r="706" ht="28.5" customHeight="1" x14ac:dyDescent="0.2"/>
    <row r="707" ht="28.5" customHeight="1" x14ac:dyDescent="0.2"/>
    <row r="708" ht="28.5" customHeight="1" x14ac:dyDescent="0.2"/>
    <row r="709" ht="28.5" customHeight="1" x14ac:dyDescent="0.2"/>
    <row r="710" ht="28.5" customHeight="1" x14ac:dyDescent="0.2"/>
    <row r="711" ht="28.5" customHeight="1" x14ac:dyDescent="0.2"/>
    <row r="712" ht="28.5" customHeight="1" x14ac:dyDescent="0.2"/>
    <row r="713" ht="28.5" customHeight="1" x14ac:dyDescent="0.2"/>
    <row r="714" ht="28.5" customHeight="1" x14ac:dyDescent="0.2"/>
    <row r="715" ht="28.5" customHeight="1" x14ac:dyDescent="0.2"/>
    <row r="716" ht="28.5" customHeight="1" x14ac:dyDescent="0.2"/>
    <row r="717" ht="28.5" customHeight="1" x14ac:dyDescent="0.2"/>
    <row r="718" ht="28.5" customHeight="1" x14ac:dyDescent="0.2"/>
    <row r="719" ht="28.5" customHeight="1" x14ac:dyDescent="0.2"/>
    <row r="720" ht="28.5" customHeight="1" x14ac:dyDescent="0.2"/>
    <row r="721" ht="28.5" customHeight="1" x14ac:dyDescent="0.2"/>
    <row r="722" ht="28.5" customHeight="1" x14ac:dyDescent="0.2"/>
    <row r="723" ht="28.5" customHeight="1" x14ac:dyDescent="0.2"/>
    <row r="724" ht="28.5" customHeight="1" x14ac:dyDescent="0.2"/>
    <row r="725" ht="28.5" customHeight="1" x14ac:dyDescent="0.2"/>
    <row r="726" ht="28.5" customHeight="1" x14ac:dyDescent="0.2"/>
    <row r="727" ht="28.5" customHeight="1" x14ac:dyDescent="0.2"/>
    <row r="728" ht="28.5" customHeight="1" x14ac:dyDescent="0.2"/>
    <row r="729" ht="28.5" customHeight="1" x14ac:dyDescent="0.2"/>
    <row r="730" ht="28.5" customHeight="1" x14ac:dyDescent="0.2"/>
    <row r="731" ht="28.5" customHeight="1" x14ac:dyDescent="0.2"/>
    <row r="732" ht="28.5" customHeight="1" x14ac:dyDescent="0.2"/>
    <row r="733" ht="28.5" customHeight="1" x14ac:dyDescent="0.2"/>
    <row r="734" ht="28.5" customHeight="1" x14ac:dyDescent="0.2"/>
    <row r="735" ht="28.5" customHeight="1" x14ac:dyDescent="0.2"/>
    <row r="736" ht="28.5" customHeight="1" x14ac:dyDescent="0.2"/>
    <row r="737" ht="28.5" customHeight="1" x14ac:dyDescent="0.2"/>
    <row r="738" ht="28.5" customHeight="1" x14ac:dyDescent="0.2"/>
    <row r="739" ht="28.5" customHeight="1" x14ac:dyDescent="0.2"/>
    <row r="740" ht="28.5" customHeight="1" x14ac:dyDescent="0.2"/>
    <row r="741" ht="28.5" customHeight="1" x14ac:dyDescent="0.2"/>
    <row r="742" ht="28.5" customHeight="1" x14ac:dyDescent="0.2"/>
    <row r="743" ht="28.5" customHeight="1" x14ac:dyDescent="0.2"/>
    <row r="744" ht="28.5" customHeight="1" x14ac:dyDescent="0.2"/>
    <row r="745" ht="28.5" customHeight="1" x14ac:dyDescent="0.2"/>
    <row r="746" ht="28.5" customHeight="1" x14ac:dyDescent="0.2"/>
    <row r="747" ht="28.5" customHeight="1" x14ac:dyDescent="0.2"/>
    <row r="748" ht="28.5" customHeight="1" x14ac:dyDescent="0.2"/>
    <row r="749" ht="28.5" customHeight="1" x14ac:dyDescent="0.2"/>
    <row r="750" ht="28.5" customHeight="1" x14ac:dyDescent="0.2"/>
    <row r="751" ht="28.5" customHeight="1" x14ac:dyDescent="0.2"/>
    <row r="752" ht="28.5" customHeight="1" x14ac:dyDescent="0.2"/>
    <row r="753" ht="28.5" customHeight="1" x14ac:dyDescent="0.2"/>
    <row r="754" ht="28.5" customHeight="1" x14ac:dyDescent="0.2"/>
    <row r="755" ht="28.5" customHeight="1" x14ac:dyDescent="0.2"/>
    <row r="756" ht="28.5" customHeight="1" x14ac:dyDescent="0.2"/>
    <row r="757" ht="28.5" customHeight="1" x14ac:dyDescent="0.2"/>
    <row r="758" ht="28.5" customHeight="1" x14ac:dyDescent="0.2"/>
    <row r="759" ht="28.5" customHeight="1" x14ac:dyDescent="0.2"/>
    <row r="760" ht="28.5" customHeight="1" x14ac:dyDescent="0.2"/>
    <row r="761" ht="28.5" customHeight="1" x14ac:dyDescent="0.2"/>
    <row r="762" ht="28.5" customHeight="1" x14ac:dyDescent="0.2"/>
    <row r="763" ht="28.5" customHeight="1" x14ac:dyDescent="0.2"/>
    <row r="764" ht="28.5" customHeight="1" x14ac:dyDescent="0.2"/>
    <row r="765" ht="28.5" customHeight="1" x14ac:dyDescent="0.2"/>
    <row r="766" ht="28.5" customHeight="1" x14ac:dyDescent="0.2"/>
    <row r="767" ht="28.5" customHeight="1" x14ac:dyDescent="0.2"/>
    <row r="768" ht="28.5" customHeight="1" x14ac:dyDescent="0.2"/>
    <row r="769" ht="28.5" customHeight="1" x14ac:dyDescent="0.2"/>
    <row r="770" ht="28.5" customHeight="1" x14ac:dyDescent="0.2"/>
    <row r="771" ht="28.5" customHeight="1" x14ac:dyDescent="0.2"/>
    <row r="772" ht="28.5" customHeight="1" x14ac:dyDescent="0.2"/>
    <row r="773" ht="28.5" customHeight="1" x14ac:dyDescent="0.2"/>
    <row r="774" ht="28.5" customHeight="1" x14ac:dyDescent="0.2"/>
    <row r="775" ht="28.5" customHeight="1" x14ac:dyDescent="0.2"/>
    <row r="776" ht="28.5" customHeight="1" x14ac:dyDescent="0.2"/>
    <row r="777" ht="28.5" customHeight="1" x14ac:dyDescent="0.2"/>
    <row r="778" ht="28.5" customHeight="1" x14ac:dyDescent="0.2"/>
    <row r="779" ht="28.5" customHeight="1" x14ac:dyDescent="0.2"/>
    <row r="780" ht="28.5" customHeight="1" x14ac:dyDescent="0.2"/>
    <row r="781" ht="28.5" customHeight="1" x14ac:dyDescent="0.2"/>
    <row r="782" ht="28.5" customHeight="1" x14ac:dyDescent="0.2"/>
    <row r="783" ht="28.5" customHeight="1" x14ac:dyDescent="0.2"/>
    <row r="784" ht="28.5" customHeight="1" x14ac:dyDescent="0.2"/>
    <row r="785" ht="28.5" customHeight="1" x14ac:dyDescent="0.2"/>
    <row r="786" ht="28.5" customHeight="1" x14ac:dyDescent="0.2"/>
    <row r="787" ht="28.5" customHeight="1" x14ac:dyDescent="0.2"/>
    <row r="788" ht="28.5" customHeight="1" x14ac:dyDescent="0.2"/>
    <row r="789" ht="28.5" customHeight="1" x14ac:dyDescent="0.2"/>
    <row r="790" ht="28.5" customHeight="1" x14ac:dyDescent="0.2"/>
    <row r="791" ht="28.5" customHeight="1" x14ac:dyDescent="0.2"/>
    <row r="792" ht="28.5" customHeight="1" x14ac:dyDescent="0.2"/>
    <row r="793" ht="28.5" customHeight="1" x14ac:dyDescent="0.2"/>
    <row r="794" ht="28.5" customHeight="1" x14ac:dyDescent="0.2"/>
    <row r="795" ht="28.5" customHeight="1" x14ac:dyDescent="0.2"/>
    <row r="796" ht="28.5" customHeight="1" x14ac:dyDescent="0.2"/>
    <row r="797" ht="28.5" customHeight="1" x14ac:dyDescent="0.2"/>
    <row r="798" ht="28.5" customHeight="1" x14ac:dyDescent="0.2"/>
    <row r="799" ht="28.5" customHeight="1" x14ac:dyDescent="0.2"/>
    <row r="800" ht="28.5" customHeight="1" x14ac:dyDescent="0.2"/>
    <row r="801" ht="28.5" customHeight="1" x14ac:dyDescent="0.2"/>
    <row r="802" ht="28.5" customHeight="1" x14ac:dyDescent="0.2"/>
    <row r="803" ht="28.5" customHeight="1" x14ac:dyDescent="0.2"/>
    <row r="804" ht="28.5" customHeight="1" x14ac:dyDescent="0.2"/>
    <row r="805" ht="28.5" customHeight="1" x14ac:dyDescent="0.2"/>
    <row r="806" ht="28.5" customHeight="1" x14ac:dyDescent="0.2"/>
    <row r="807" ht="28.5" customHeight="1" x14ac:dyDescent="0.2"/>
    <row r="808" ht="28.5" customHeight="1" x14ac:dyDescent="0.2"/>
    <row r="809" ht="28.5" customHeight="1" x14ac:dyDescent="0.2"/>
    <row r="810" ht="28.5" customHeight="1" x14ac:dyDescent="0.2"/>
    <row r="811" ht="28.5" customHeight="1" x14ac:dyDescent="0.2"/>
    <row r="812" ht="28.5" customHeight="1" x14ac:dyDescent="0.2"/>
    <row r="813" ht="28.5" customHeight="1" x14ac:dyDescent="0.2"/>
    <row r="814" ht="28.5" customHeight="1" x14ac:dyDescent="0.2"/>
    <row r="815" ht="28.5" customHeight="1" x14ac:dyDescent="0.2"/>
    <row r="816" ht="28.5" customHeight="1" x14ac:dyDescent="0.2"/>
    <row r="817" ht="28.5" customHeight="1" x14ac:dyDescent="0.2"/>
    <row r="818" ht="28.5" customHeight="1" x14ac:dyDescent="0.2"/>
    <row r="819" ht="28.5" customHeight="1" x14ac:dyDescent="0.2"/>
    <row r="820" ht="28.5" customHeight="1" x14ac:dyDescent="0.2"/>
    <row r="821" ht="28.5" customHeight="1" x14ac:dyDescent="0.2"/>
    <row r="822" ht="28.5" customHeight="1" x14ac:dyDescent="0.2"/>
    <row r="823" ht="28.5" customHeight="1" x14ac:dyDescent="0.2"/>
    <row r="824" ht="28.5" customHeight="1" x14ac:dyDescent="0.2"/>
    <row r="825" ht="28.5" customHeight="1" x14ac:dyDescent="0.2"/>
    <row r="826" ht="28.5" customHeight="1" x14ac:dyDescent="0.2"/>
    <row r="827" ht="28.5" customHeight="1" x14ac:dyDescent="0.2"/>
    <row r="828" ht="28.5" customHeight="1" x14ac:dyDescent="0.2"/>
    <row r="829" ht="28.5" customHeight="1" x14ac:dyDescent="0.2"/>
    <row r="830" ht="28.5" customHeight="1" x14ac:dyDescent="0.2"/>
    <row r="831" ht="28.5" customHeight="1" x14ac:dyDescent="0.2"/>
    <row r="832" ht="28.5" customHeight="1" x14ac:dyDescent="0.2"/>
    <row r="833" ht="28.5" customHeight="1" x14ac:dyDescent="0.2"/>
    <row r="834" ht="28.5" customHeight="1" x14ac:dyDescent="0.2"/>
    <row r="835" ht="28.5" customHeight="1" x14ac:dyDescent="0.2"/>
    <row r="836" ht="28.5" customHeight="1" x14ac:dyDescent="0.2"/>
    <row r="837" ht="28.5" customHeight="1" x14ac:dyDescent="0.2"/>
    <row r="838" ht="28.5" customHeight="1" x14ac:dyDescent="0.2"/>
    <row r="839" ht="28.5" customHeight="1" x14ac:dyDescent="0.2"/>
    <row r="840" ht="28.5" customHeight="1" x14ac:dyDescent="0.2"/>
    <row r="841" ht="28.5" customHeight="1" x14ac:dyDescent="0.2"/>
    <row r="842" ht="28.5" customHeight="1" x14ac:dyDescent="0.2"/>
    <row r="843" ht="28.5" customHeight="1" x14ac:dyDescent="0.2"/>
    <row r="844" ht="28.5" customHeight="1" x14ac:dyDescent="0.2"/>
    <row r="845" ht="28.5" customHeight="1" x14ac:dyDescent="0.2"/>
    <row r="846" ht="28.5" customHeight="1" x14ac:dyDescent="0.2"/>
    <row r="847" ht="28.5" customHeight="1" x14ac:dyDescent="0.2"/>
    <row r="848" ht="28.5" customHeight="1" x14ac:dyDescent="0.2"/>
    <row r="849" ht="28.5" customHeight="1" x14ac:dyDescent="0.2"/>
    <row r="850" ht="28.5" customHeight="1" x14ac:dyDescent="0.2"/>
    <row r="851" ht="28.5" customHeight="1" x14ac:dyDescent="0.2"/>
    <row r="852" ht="28.5" customHeight="1" x14ac:dyDescent="0.2"/>
    <row r="853" ht="28.5" customHeight="1" x14ac:dyDescent="0.2"/>
    <row r="854" ht="28.5" customHeight="1" x14ac:dyDescent="0.2"/>
    <row r="855" ht="28.5" customHeight="1" x14ac:dyDescent="0.2"/>
    <row r="856" ht="28.5" customHeight="1" x14ac:dyDescent="0.2"/>
    <row r="857" ht="28.5" customHeight="1" x14ac:dyDescent="0.2"/>
    <row r="858" ht="28.5" customHeight="1" x14ac:dyDescent="0.2"/>
    <row r="859" ht="28.5" customHeight="1" x14ac:dyDescent="0.2"/>
    <row r="860" ht="28.5" customHeight="1" x14ac:dyDescent="0.2"/>
    <row r="861" ht="28.5" customHeight="1" x14ac:dyDescent="0.2"/>
    <row r="862" ht="28.5" customHeight="1" x14ac:dyDescent="0.2"/>
    <row r="863" ht="28.5" customHeight="1" x14ac:dyDescent="0.2"/>
    <row r="864" ht="28.5" customHeight="1" x14ac:dyDescent="0.2"/>
    <row r="865" ht="28.5" customHeight="1" x14ac:dyDescent="0.2"/>
    <row r="866" ht="28.5" customHeight="1" x14ac:dyDescent="0.2"/>
    <row r="867" ht="28.5" customHeight="1" x14ac:dyDescent="0.2"/>
    <row r="868" ht="28.5" customHeight="1" x14ac:dyDescent="0.2"/>
    <row r="869" ht="28.5" customHeight="1" x14ac:dyDescent="0.2"/>
    <row r="870" ht="28.5" customHeight="1" x14ac:dyDescent="0.2"/>
    <row r="871" ht="28.5" customHeight="1" x14ac:dyDescent="0.2"/>
    <row r="872" ht="28.5" customHeight="1" x14ac:dyDescent="0.2"/>
    <row r="873" ht="28.5" customHeight="1" x14ac:dyDescent="0.2"/>
    <row r="874" ht="28.5" customHeight="1" x14ac:dyDescent="0.2"/>
    <row r="875" ht="28.5" customHeight="1" x14ac:dyDescent="0.2"/>
    <row r="876" ht="28.5" customHeight="1" x14ac:dyDescent="0.2"/>
    <row r="877" ht="28.5" customHeight="1" x14ac:dyDescent="0.2"/>
    <row r="878" ht="28.5" customHeight="1" x14ac:dyDescent="0.2"/>
    <row r="879" ht="28.5" customHeight="1" x14ac:dyDescent="0.2"/>
    <row r="880" ht="28.5" customHeight="1" x14ac:dyDescent="0.2"/>
    <row r="881" ht="28.5" customHeight="1" x14ac:dyDescent="0.2"/>
    <row r="882" ht="28.5" customHeight="1" x14ac:dyDescent="0.2"/>
    <row r="883" ht="28.5" customHeight="1" x14ac:dyDescent="0.2"/>
    <row r="884" ht="28.5" customHeight="1" x14ac:dyDescent="0.2"/>
    <row r="885" ht="28.5" customHeight="1" x14ac:dyDescent="0.2"/>
    <row r="886" ht="28.5" customHeight="1" x14ac:dyDescent="0.2"/>
    <row r="887" ht="28.5" customHeight="1" x14ac:dyDescent="0.2"/>
    <row r="888" ht="28.5" customHeight="1" x14ac:dyDescent="0.2"/>
    <row r="889" ht="28.5" customHeight="1" x14ac:dyDescent="0.2"/>
    <row r="890" ht="28.5" customHeight="1" x14ac:dyDescent="0.2"/>
    <row r="891" ht="28.5" customHeight="1" x14ac:dyDescent="0.2"/>
    <row r="892" ht="28.5" customHeight="1" x14ac:dyDescent="0.2"/>
    <row r="893" ht="28.5" customHeight="1" x14ac:dyDescent="0.2"/>
    <row r="894" ht="28.5" customHeight="1" x14ac:dyDescent="0.2"/>
    <row r="895" ht="28.5" customHeight="1" x14ac:dyDescent="0.2"/>
    <row r="896" ht="28.5" customHeight="1" x14ac:dyDescent="0.2"/>
    <row r="897" ht="28.5" customHeight="1" x14ac:dyDescent="0.2"/>
    <row r="898" ht="28.5" customHeight="1" x14ac:dyDescent="0.2"/>
    <row r="899" ht="28.5" customHeight="1" x14ac:dyDescent="0.2"/>
    <row r="900" ht="28.5" customHeight="1" x14ac:dyDescent="0.2"/>
    <row r="901" ht="28.5" customHeight="1" x14ac:dyDescent="0.2"/>
    <row r="902" ht="28.5" customHeight="1" x14ac:dyDescent="0.2"/>
    <row r="903" ht="28.5" customHeight="1" x14ac:dyDescent="0.2"/>
    <row r="904" ht="28.5" customHeight="1" x14ac:dyDescent="0.2"/>
    <row r="905" ht="28.5" customHeight="1" x14ac:dyDescent="0.2"/>
    <row r="906" ht="28.5" customHeight="1" x14ac:dyDescent="0.2"/>
    <row r="907" ht="28.5" customHeight="1" x14ac:dyDescent="0.2"/>
    <row r="908" ht="28.5" customHeight="1" x14ac:dyDescent="0.2"/>
    <row r="909" ht="28.5" customHeight="1" x14ac:dyDescent="0.2"/>
    <row r="910" ht="28.5" customHeight="1" x14ac:dyDescent="0.2"/>
    <row r="911" ht="28.5" customHeight="1" x14ac:dyDescent="0.2"/>
    <row r="912" ht="28.5" customHeight="1" x14ac:dyDescent="0.2"/>
    <row r="913" ht="28.5" customHeight="1" x14ac:dyDescent="0.2"/>
    <row r="914" ht="28.5" customHeight="1" x14ac:dyDescent="0.2"/>
    <row r="915" ht="28.5" customHeight="1" x14ac:dyDescent="0.2"/>
    <row r="916" ht="28.5" customHeight="1" x14ac:dyDescent="0.2"/>
    <row r="917" ht="28.5" customHeight="1" x14ac:dyDescent="0.2"/>
    <row r="918" ht="28.5" customHeight="1" x14ac:dyDescent="0.2"/>
    <row r="919" ht="28.5" customHeight="1" x14ac:dyDescent="0.2"/>
    <row r="920" ht="28.5" customHeight="1" x14ac:dyDescent="0.2"/>
    <row r="921" ht="28.5" customHeight="1" x14ac:dyDescent="0.2"/>
    <row r="922" ht="28.5" customHeight="1" x14ac:dyDescent="0.2"/>
    <row r="923" ht="28.5" customHeight="1" x14ac:dyDescent="0.2"/>
    <row r="924" ht="28.5" customHeight="1" x14ac:dyDescent="0.2"/>
    <row r="925" ht="28.5" customHeight="1" x14ac:dyDescent="0.2"/>
    <row r="926" ht="28.5" customHeight="1" x14ac:dyDescent="0.2"/>
    <row r="927" ht="28.5" customHeight="1" x14ac:dyDescent="0.2"/>
    <row r="928" ht="28.5" customHeight="1" x14ac:dyDescent="0.2"/>
    <row r="929" ht="28.5" customHeight="1" x14ac:dyDescent="0.2"/>
    <row r="930" ht="28.5" customHeight="1" x14ac:dyDescent="0.2"/>
    <row r="931" ht="28.5" customHeight="1" x14ac:dyDescent="0.2"/>
    <row r="932" ht="28.5" customHeight="1" x14ac:dyDescent="0.2"/>
    <row r="933" ht="28.5" customHeight="1" x14ac:dyDescent="0.2"/>
    <row r="934" ht="28.5" customHeight="1" x14ac:dyDescent="0.2"/>
    <row r="935" ht="28.5" customHeight="1" x14ac:dyDescent="0.2"/>
    <row r="936" ht="28.5" customHeight="1" x14ac:dyDescent="0.2"/>
    <row r="937" ht="28.5" customHeight="1" x14ac:dyDescent="0.2"/>
    <row r="938" ht="28.5" customHeight="1" x14ac:dyDescent="0.2"/>
    <row r="939" ht="28.5" customHeight="1" x14ac:dyDescent="0.2"/>
    <row r="940" ht="28.5" customHeight="1" x14ac:dyDescent="0.2"/>
    <row r="941" ht="28.5" customHeight="1" x14ac:dyDescent="0.2"/>
    <row r="942" ht="28.5" customHeight="1" x14ac:dyDescent="0.2"/>
    <row r="943" ht="28.5" customHeight="1" x14ac:dyDescent="0.2"/>
    <row r="944" ht="28.5" customHeight="1" x14ac:dyDescent="0.2"/>
    <row r="945" ht="28.5" customHeight="1" x14ac:dyDescent="0.2"/>
    <row r="946" ht="28.5" customHeight="1" x14ac:dyDescent="0.2"/>
    <row r="947" ht="28.5" customHeight="1" x14ac:dyDescent="0.2"/>
    <row r="948" ht="28.5" customHeight="1" x14ac:dyDescent="0.2"/>
    <row r="949" ht="28.5" customHeight="1" x14ac:dyDescent="0.2"/>
    <row r="950" ht="28.5" customHeight="1" x14ac:dyDescent="0.2"/>
    <row r="951" ht="28.5" customHeight="1" x14ac:dyDescent="0.2"/>
    <row r="952" ht="28.5" customHeight="1" x14ac:dyDescent="0.2"/>
    <row r="953" ht="28.5" customHeight="1" x14ac:dyDescent="0.2"/>
    <row r="954" ht="28.5" customHeight="1" x14ac:dyDescent="0.2"/>
    <row r="955" ht="28.5" customHeight="1" x14ac:dyDescent="0.2"/>
    <row r="956" ht="28.5" customHeight="1" x14ac:dyDescent="0.2"/>
    <row r="957" ht="28.5" customHeight="1" x14ac:dyDescent="0.2"/>
    <row r="958" ht="28.5" customHeight="1" x14ac:dyDescent="0.2"/>
    <row r="959" ht="28.5" customHeight="1" x14ac:dyDescent="0.2"/>
    <row r="960" ht="28.5" customHeight="1" x14ac:dyDescent="0.2"/>
    <row r="961" ht="28.5" customHeight="1" x14ac:dyDescent="0.2"/>
    <row r="962" ht="28.5" customHeight="1" x14ac:dyDescent="0.2"/>
    <row r="963" ht="28.5" customHeight="1" x14ac:dyDescent="0.2"/>
    <row r="964" ht="28.5" customHeight="1" x14ac:dyDescent="0.2"/>
    <row r="965" ht="28.5" customHeight="1" x14ac:dyDescent="0.2"/>
    <row r="966" ht="28.5" customHeight="1" x14ac:dyDescent="0.2"/>
    <row r="967" ht="28.5" customHeight="1" x14ac:dyDescent="0.2"/>
    <row r="968" ht="28.5" customHeight="1" x14ac:dyDescent="0.2"/>
    <row r="969" ht="28.5" customHeight="1" x14ac:dyDescent="0.2"/>
    <row r="970" ht="28.5" customHeight="1" x14ac:dyDescent="0.2"/>
    <row r="971" ht="28.5" customHeight="1" x14ac:dyDescent="0.2"/>
    <row r="972" ht="28.5" customHeight="1" x14ac:dyDescent="0.2"/>
    <row r="973" ht="28.5" customHeight="1" x14ac:dyDescent="0.2"/>
    <row r="974" ht="28.5" customHeight="1" x14ac:dyDescent="0.2"/>
    <row r="975" ht="28.5" customHeight="1" x14ac:dyDescent="0.2"/>
    <row r="976" ht="28.5" customHeight="1" x14ac:dyDescent="0.2"/>
    <row r="977" ht="28.5" customHeight="1" x14ac:dyDescent="0.2"/>
    <row r="978" ht="28.5" customHeight="1" x14ac:dyDescent="0.2"/>
    <row r="979" ht="28.5" customHeight="1" x14ac:dyDescent="0.2"/>
    <row r="980" ht="28.5" customHeight="1" x14ac:dyDescent="0.2"/>
    <row r="981" ht="28.5" customHeight="1" x14ac:dyDescent="0.2"/>
    <row r="982" ht="28.5" customHeight="1" x14ac:dyDescent="0.2"/>
    <row r="983" ht="28.5" customHeight="1" x14ac:dyDescent="0.2"/>
    <row r="984" ht="28.5" customHeight="1" x14ac:dyDescent="0.2"/>
    <row r="985" ht="28.5" customHeight="1" x14ac:dyDescent="0.2"/>
    <row r="986" ht="28.5" customHeight="1" x14ac:dyDescent="0.2"/>
    <row r="987" ht="28.5" customHeight="1" x14ac:dyDescent="0.2"/>
    <row r="988" ht="28.5" customHeight="1" x14ac:dyDescent="0.2"/>
    <row r="989" ht="28.5" customHeight="1" x14ac:dyDescent="0.2"/>
    <row r="990" ht="28.5" customHeight="1" x14ac:dyDescent="0.2"/>
    <row r="991" ht="28.5" customHeight="1" x14ac:dyDescent="0.2"/>
    <row r="992" ht="28.5" customHeight="1" x14ac:dyDescent="0.2"/>
    <row r="993" ht="28.5" customHeight="1" x14ac:dyDescent="0.2"/>
    <row r="994" ht="28.5" customHeight="1" x14ac:dyDescent="0.2"/>
    <row r="995" ht="28.5" customHeight="1" x14ac:dyDescent="0.2"/>
    <row r="996" ht="28.5" customHeight="1" x14ac:dyDescent="0.2"/>
    <row r="997" ht="28.5" customHeight="1" x14ac:dyDescent="0.2"/>
    <row r="998" ht="28.5" customHeight="1" x14ac:dyDescent="0.2"/>
    <row r="999" ht="28.5" customHeight="1" x14ac:dyDescent="0.2"/>
    <row r="1000" ht="28.5" customHeight="1" x14ac:dyDescent="0.2"/>
  </sheetData>
  <conditionalFormatting sqref="B2:W23">
    <cfRule type="expression" dxfId="3" priority="1">
      <formula>AND($Y$2 &gt;= B2, $B$1, NOT(ISBLANK(B2)))</formula>
    </cfRule>
    <cfRule type="expression" dxfId="2" priority="2">
      <formula>AND($Y$2&lt;=B2, $B$1)</formula>
    </cfRule>
    <cfRule type="expression" dxfId="1" priority="3">
      <formula>AND($Y$3 &gt;= B2, NOT($B$1), NOT(ISBLANK(B2)))</formula>
    </cfRule>
    <cfRule type="expression" dxfId="0" priority="4">
      <formula>AND($Y$3&lt;=B2, NOT($B$1))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Current</vt:lpstr>
      <vt:lpstr>Arkusz3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Rzegocki</cp:lastModifiedBy>
  <dcterms:modified xsi:type="dcterms:W3CDTF">2026-07-03T22:31:54Z</dcterms:modified>
</cp:coreProperties>
</file>