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czku\Documents\Godmist\design\"/>
    </mc:Choice>
  </mc:AlternateContent>
  <xr:revisionPtr revIDLastSave="0" documentId="13_ncr:1_{5E5570A7-BCFD-4D74-A7BD-A0271B8BE3AF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kalowanie poziomow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2" i="3" l="1"/>
  <c r="O62" i="3"/>
  <c r="K62" i="3"/>
  <c r="G62" i="3"/>
  <c r="C62" i="3"/>
  <c r="S61" i="3"/>
  <c r="O61" i="3"/>
  <c r="K61" i="3"/>
  <c r="G61" i="3"/>
  <c r="C61" i="3"/>
  <c r="T60" i="3"/>
  <c r="S60" i="3"/>
  <c r="O60" i="3"/>
  <c r="K60" i="3"/>
  <c r="G60" i="3"/>
  <c r="C60" i="3"/>
  <c r="S59" i="3"/>
  <c r="O59" i="3"/>
  <c r="K59" i="3"/>
  <c r="G59" i="3"/>
  <c r="C59" i="3"/>
  <c r="S58" i="3"/>
  <c r="O58" i="3"/>
  <c r="K58" i="3"/>
  <c r="G58" i="3"/>
  <c r="C58" i="3"/>
  <c r="S57" i="3"/>
  <c r="O57" i="3"/>
  <c r="K57" i="3"/>
  <c r="G57" i="3"/>
  <c r="C57" i="3"/>
  <c r="S56" i="3"/>
  <c r="O56" i="3"/>
  <c r="K56" i="3"/>
  <c r="G56" i="3"/>
  <c r="C56" i="3"/>
  <c r="S55" i="3"/>
  <c r="O55" i="3"/>
  <c r="K55" i="3"/>
  <c r="G55" i="3"/>
  <c r="C55" i="3"/>
  <c r="S54" i="3"/>
  <c r="O54" i="3"/>
  <c r="K54" i="3"/>
  <c r="G54" i="3"/>
  <c r="C54" i="3"/>
  <c r="S53" i="3"/>
  <c r="O53" i="3"/>
  <c r="K53" i="3"/>
  <c r="G53" i="3"/>
  <c r="C53" i="3"/>
  <c r="S52" i="3"/>
  <c r="O52" i="3"/>
  <c r="K52" i="3"/>
  <c r="G52" i="3"/>
  <c r="C52" i="3"/>
  <c r="S51" i="3"/>
  <c r="O51" i="3"/>
  <c r="K51" i="3"/>
  <c r="G51" i="3"/>
  <c r="C51" i="3"/>
  <c r="S50" i="3"/>
  <c r="O50" i="3"/>
  <c r="K50" i="3"/>
  <c r="G50" i="3"/>
  <c r="C50" i="3"/>
  <c r="S49" i="3"/>
  <c r="O49" i="3"/>
  <c r="K49" i="3"/>
  <c r="G49" i="3"/>
  <c r="C49" i="3"/>
  <c r="S48" i="3"/>
  <c r="O48" i="3"/>
  <c r="K48" i="3"/>
  <c r="G48" i="3"/>
  <c r="C48" i="3"/>
  <c r="S47" i="3"/>
  <c r="O47" i="3"/>
  <c r="K47" i="3"/>
  <c r="G47" i="3"/>
  <c r="C47" i="3"/>
  <c r="S46" i="3"/>
  <c r="O46" i="3"/>
  <c r="K46" i="3"/>
  <c r="G46" i="3"/>
  <c r="C46" i="3"/>
  <c r="S45" i="3"/>
  <c r="O45" i="3"/>
  <c r="K45" i="3"/>
  <c r="G45" i="3"/>
  <c r="C45" i="3"/>
  <c r="S44" i="3"/>
  <c r="O44" i="3"/>
  <c r="K44" i="3"/>
  <c r="G44" i="3"/>
  <c r="C44" i="3"/>
  <c r="S43" i="3"/>
  <c r="O43" i="3"/>
  <c r="K43" i="3"/>
  <c r="G43" i="3"/>
  <c r="C43" i="3"/>
  <c r="S42" i="3"/>
  <c r="O42" i="3"/>
  <c r="K42" i="3"/>
  <c r="G42" i="3"/>
  <c r="C42" i="3"/>
  <c r="S41" i="3"/>
  <c r="O41" i="3"/>
  <c r="K41" i="3"/>
  <c r="G41" i="3"/>
  <c r="C41" i="3"/>
  <c r="S40" i="3"/>
  <c r="O40" i="3"/>
  <c r="K40" i="3"/>
  <c r="G40" i="3"/>
  <c r="C40" i="3"/>
  <c r="S39" i="3"/>
  <c r="O39" i="3"/>
  <c r="K39" i="3"/>
  <c r="G39" i="3"/>
  <c r="C39" i="3"/>
  <c r="S38" i="3"/>
  <c r="O38" i="3"/>
  <c r="K38" i="3"/>
  <c r="G38" i="3"/>
  <c r="C38" i="3"/>
  <c r="S37" i="3"/>
  <c r="O37" i="3"/>
  <c r="K37" i="3"/>
  <c r="G37" i="3"/>
  <c r="C37" i="3"/>
  <c r="S36" i="3"/>
  <c r="O36" i="3"/>
  <c r="K36" i="3"/>
  <c r="G36" i="3"/>
  <c r="C36" i="3"/>
  <c r="S35" i="3"/>
  <c r="O35" i="3"/>
  <c r="K35" i="3"/>
  <c r="G35" i="3"/>
  <c r="C35" i="3"/>
  <c r="S34" i="3"/>
  <c r="O34" i="3"/>
  <c r="K34" i="3"/>
  <c r="G34" i="3"/>
  <c r="C34" i="3"/>
  <c r="S33" i="3"/>
  <c r="O33" i="3"/>
  <c r="K33" i="3"/>
  <c r="G33" i="3"/>
  <c r="C33" i="3"/>
  <c r="S32" i="3"/>
  <c r="O32" i="3"/>
  <c r="K32" i="3"/>
  <c r="G32" i="3"/>
  <c r="C32" i="3"/>
  <c r="S31" i="3"/>
  <c r="O31" i="3"/>
  <c r="K31" i="3"/>
  <c r="G31" i="3"/>
  <c r="C31" i="3"/>
  <c r="S30" i="3"/>
  <c r="O30" i="3"/>
  <c r="K30" i="3"/>
  <c r="G30" i="3"/>
  <c r="C30" i="3"/>
  <c r="S29" i="3"/>
  <c r="O29" i="3"/>
  <c r="K29" i="3"/>
  <c r="G29" i="3"/>
  <c r="C29" i="3"/>
  <c r="S28" i="3"/>
  <c r="O28" i="3"/>
  <c r="K28" i="3"/>
  <c r="G28" i="3"/>
  <c r="C28" i="3"/>
  <c r="S27" i="3"/>
  <c r="O27" i="3"/>
  <c r="K27" i="3"/>
  <c r="G27" i="3"/>
  <c r="C27" i="3"/>
  <c r="S26" i="3"/>
  <c r="O26" i="3"/>
  <c r="K26" i="3"/>
  <c r="G26" i="3"/>
  <c r="C26" i="3"/>
  <c r="S25" i="3"/>
  <c r="O25" i="3"/>
  <c r="K25" i="3"/>
  <c r="G25" i="3"/>
  <c r="C25" i="3"/>
  <c r="S24" i="3"/>
  <c r="O24" i="3"/>
  <c r="K24" i="3"/>
  <c r="G24" i="3"/>
  <c r="C24" i="3"/>
  <c r="S23" i="3"/>
  <c r="O23" i="3"/>
  <c r="K23" i="3"/>
  <c r="G23" i="3"/>
  <c r="C23" i="3"/>
  <c r="S22" i="3"/>
  <c r="O22" i="3"/>
  <c r="K22" i="3"/>
  <c r="G22" i="3"/>
  <c r="C22" i="3"/>
  <c r="S21" i="3"/>
  <c r="O21" i="3"/>
  <c r="K21" i="3"/>
  <c r="G21" i="3"/>
  <c r="C21" i="3"/>
  <c r="S20" i="3"/>
  <c r="O20" i="3"/>
  <c r="K20" i="3"/>
  <c r="G20" i="3"/>
  <c r="C20" i="3"/>
  <c r="S19" i="3"/>
  <c r="O19" i="3"/>
  <c r="K19" i="3"/>
  <c r="G19" i="3"/>
  <c r="C19" i="3"/>
  <c r="S18" i="3"/>
  <c r="O18" i="3"/>
  <c r="K18" i="3"/>
  <c r="G18" i="3"/>
  <c r="C18" i="3"/>
  <c r="S17" i="3"/>
  <c r="O17" i="3"/>
  <c r="K17" i="3"/>
  <c r="G17" i="3"/>
  <c r="C17" i="3"/>
  <c r="S16" i="3"/>
  <c r="O16" i="3"/>
  <c r="K16" i="3"/>
  <c r="G16" i="3"/>
  <c r="C16" i="3"/>
  <c r="S15" i="3"/>
  <c r="O15" i="3"/>
  <c r="K15" i="3"/>
  <c r="G15" i="3"/>
  <c r="C15" i="3"/>
  <c r="T14" i="3"/>
  <c r="S14" i="3"/>
  <c r="O14" i="3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K14" i="3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G14" i="3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C14" i="3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T62" i="3" l="1"/>
  <c r="T61" i="3"/>
  <c r="T58" i="3"/>
  <c r="T57" i="3"/>
  <c r="T56" i="3"/>
  <c r="T16" i="3"/>
  <c r="T55" i="3"/>
  <c r="T54" i="3"/>
  <c r="T53" i="3"/>
  <c r="T52" i="3"/>
  <c r="T22" i="3"/>
  <c r="T51" i="3"/>
  <c r="T50" i="3"/>
  <c r="T49" i="3"/>
  <c r="T48" i="3"/>
  <c r="T45" i="3"/>
  <c r="T44" i="3"/>
  <c r="T35" i="3"/>
  <c r="T31" i="3"/>
  <c r="T18" i="3"/>
  <c r="T42" i="3"/>
  <c r="T47" i="3"/>
  <c r="T46" i="3"/>
  <c r="T43" i="3"/>
  <c r="T20" i="3"/>
  <c r="T36" i="3"/>
  <c r="T41" i="3"/>
  <c r="T40" i="3"/>
  <c r="T39" i="3"/>
  <c r="T38" i="3"/>
  <c r="T37" i="3"/>
  <c r="T34" i="3"/>
  <c r="T33" i="3"/>
  <c r="T32" i="3"/>
  <c r="T19" i="3"/>
  <c r="T30" i="3"/>
  <c r="T29" i="3"/>
  <c r="T28" i="3"/>
  <c r="T27" i="3"/>
  <c r="T26" i="3"/>
  <c r="T25" i="3"/>
  <c r="T24" i="3"/>
  <c r="T23" i="3"/>
  <c r="T21" i="3"/>
  <c r="T17" i="3"/>
  <c r="T59" i="3"/>
  <c r="T15" i="3"/>
</calcChain>
</file>

<file path=xl/sharedStrings.xml><?xml version="1.0" encoding="utf-8"?>
<sst xmlns="http://schemas.openxmlformats.org/spreadsheetml/2006/main" count="38" uniqueCount="18">
  <si>
    <t>-</t>
  </si>
  <si>
    <t>Co każdy poziom do statystyki dodawana jest pewna liczba a określana od góry w zależności od rodzaju potwora, klasy gracza, statystyki itd. pomnożona przez tzw. liczbę k, czyli stałą poziomową. k jest różne dla pewnych przedziałów poziomowych.</t>
  </si>
  <si>
    <t>Poziom</t>
  </si>
  <si>
    <t>k</t>
  </si>
  <si>
    <t>1-10</t>
  </si>
  <si>
    <t>11-20</t>
  </si>
  <si>
    <t>21-30</t>
  </si>
  <si>
    <t>31-40</t>
  </si>
  <si>
    <t>41-50</t>
  </si>
  <si>
    <t>Przykładowe wartości dla zdrowia wojownika</t>
  </si>
  <si>
    <t>Przykładowe wartości dla zdrowia szkieleta miecznika</t>
  </si>
  <si>
    <t>Przykładowe wartości dla zdrowia szkieleta obrońcy</t>
  </si>
  <si>
    <t>Przykładowe wartości dla zdrowia szkieleta okultysty</t>
  </si>
  <si>
    <t>Przykładowe wartości dla statystyki od liczby dodanej a =</t>
  </si>
  <si>
    <t>Dodane zdrowie</t>
  </si>
  <si>
    <t>Łączne zdrowie (zaokrągl.)</t>
  </si>
  <si>
    <t>Dodana ilość</t>
  </si>
  <si>
    <t>Łączna wartość statystyki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</si>
</sst>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62"/>
  <sheetViews>
    <sheetView tabSelected="1" workbookViewId="0">
      <selection sqref="A1:E3"/>
    </sheetView>
  </sheetViews>
  <sheetFormatPr defaultColWidth="12.5703125" defaultRowHeight="15.75" customHeight="1" x14ac:dyDescent="0.2"/>
  <cols>
    <col min="4" max="4" width="20.42578125" customWidth="1"/>
    <col min="8" max="8" width="20.42578125" customWidth="1"/>
    <col min="12" max="12" width="20.42578125" customWidth="1"/>
    <col min="16" max="16" width="20.42578125" customWidth="1"/>
    <col min="18" max="18" width="14.85546875" customWidth="1"/>
    <col min="19" max="19" width="15.28515625" customWidth="1"/>
    <col min="20" max="20" width="20.42578125" customWidth="1"/>
  </cols>
  <sheetData>
    <row r="1" spans="1:20" ht="15.75" customHeight="1" x14ac:dyDescent="0.2">
      <c r="A1" s="7" t="s">
        <v>1</v>
      </c>
      <c r="B1" s="6"/>
      <c r="C1" s="6"/>
      <c r="D1" s="6"/>
      <c r="E1" s="6"/>
    </row>
    <row r="2" spans="1:20" ht="15.75" customHeight="1" x14ac:dyDescent="0.2">
      <c r="A2" s="6"/>
      <c r="B2" s="6"/>
      <c r="C2" s="6"/>
      <c r="D2" s="6"/>
      <c r="E2" s="6"/>
    </row>
    <row r="3" spans="1:20" ht="15.75" customHeight="1" x14ac:dyDescent="0.2">
      <c r="A3" s="6"/>
      <c r="B3" s="6"/>
      <c r="C3" s="6"/>
      <c r="D3" s="6"/>
      <c r="E3" s="6"/>
    </row>
    <row r="4" spans="1:20" ht="15.75" customHeight="1" x14ac:dyDescent="0.2">
      <c r="A4" s="3" t="s">
        <v>2</v>
      </c>
      <c r="B4" s="3" t="s">
        <v>3</v>
      </c>
      <c r="C4" s="3"/>
      <c r="D4" s="3"/>
      <c r="E4" s="3"/>
    </row>
    <row r="5" spans="1:20" ht="15.75" customHeight="1" x14ac:dyDescent="0.2">
      <c r="A5" s="4" t="s">
        <v>4</v>
      </c>
      <c r="B5" s="3">
        <v>1</v>
      </c>
      <c r="C5" s="3"/>
      <c r="D5" s="3"/>
      <c r="E5" s="3"/>
    </row>
    <row r="6" spans="1:20" ht="15.75" customHeight="1" x14ac:dyDescent="0.2">
      <c r="A6" s="4" t="s">
        <v>5</v>
      </c>
      <c r="B6" s="3">
        <v>3</v>
      </c>
      <c r="C6" s="3"/>
      <c r="D6" s="3"/>
      <c r="E6" s="3"/>
    </row>
    <row r="7" spans="1:20" ht="15.75" customHeight="1" x14ac:dyDescent="0.2">
      <c r="A7" s="3" t="s">
        <v>6</v>
      </c>
      <c r="B7" s="3">
        <v>5</v>
      </c>
      <c r="C7" s="3"/>
      <c r="D7" s="3"/>
      <c r="E7" s="3"/>
    </row>
    <row r="8" spans="1:20" ht="15.75" customHeight="1" x14ac:dyDescent="0.2">
      <c r="A8" s="3" t="s">
        <v>7</v>
      </c>
      <c r="B8" s="3">
        <v>7</v>
      </c>
      <c r="C8" s="3"/>
      <c r="D8" s="3"/>
      <c r="E8" s="3"/>
    </row>
    <row r="9" spans="1:20" ht="15.75" customHeight="1" x14ac:dyDescent="0.2">
      <c r="A9" s="3" t="s">
        <v>8</v>
      </c>
      <c r="B9" s="3">
        <v>9</v>
      </c>
      <c r="C9" s="3"/>
      <c r="D9" s="3"/>
      <c r="E9" s="3"/>
    </row>
    <row r="10" spans="1:20" ht="15.75" customHeight="1" x14ac:dyDescent="0.2">
      <c r="A10" s="3"/>
      <c r="B10" s="3"/>
      <c r="C10" s="3"/>
      <c r="D10" s="3"/>
      <c r="E10" s="3"/>
    </row>
    <row r="11" spans="1:20" ht="15.75" customHeight="1" x14ac:dyDescent="0.2">
      <c r="A11" s="8" t="s">
        <v>9</v>
      </c>
      <c r="B11" s="6"/>
      <c r="C11" s="6"/>
      <c r="D11" s="6"/>
      <c r="E11" s="8" t="s">
        <v>10</v>
      </c>
      <c r="F11" s="6"/>
      <c r="G11" s="6"/>
      <c r="H11" s="6"/>
      <c r="I11" s="8" t="s">
        <v>11</v>
      </c>
      <c r="J11" s="6"/>
      <c r="K11" s="6"/>
      <c r="L11" s="6"/>
      <c r="M11" s="8" t="s">
        <v>12</v>
      </c>
      <c r="N11" s="6"/>
      <c r="O11" s="6"/>
      <c r="P11" s="6"/>
      <c r="Q11" s="8" t="s">
        <v>13</v>
      </c>
      <c r="R11" s="6"/>
      <c r="S11" s="6"/>
      <c r="T11" s="1">
        <v>0.04</v>
      </c>
    </row>
    <row r="12" spans="1:20" ht="15.75" customHeight="1" x14ac:dyDescent="0.2">
      <c r="A12" s="3" t="s">
        <v>2</v>
      </c>
      <c r="B12" s="3" t="s">
        <v>3</v>
      </c>
      <c r="C12" s="3" t="s">
        <v>14</v>
      </c>
      <c r="D12" s="3" t="s">
        <v>15</v>
      </c>
      <c r="E12" s="3" t="s">
        <v>2</v>
      </c>
      <c r="F12" s="3" t="s">
        <v>3</v>
      </c>
      <c r="G12" s="3" t="s">
        <v>14</v>
      </c>
      <c r="H12" s="3" t="s">
        <v>15</v>
      </c>
      <c r="I12" s="3" t="s">
        <v>2</v>
      </c>
      <c r="J12" s="3" t="s">
        <v>3</v>
      </c>
      <c r="K12" s="3" t="s">
        <v>14</v>
      </c>
      <c r="L12" s="3" t="s">
        <v>15</v>
      </c>
      <c r="M12" s="3" t="s">
        <v>2</v>
      </c>
      <c r="N12" s="3" t="s">
        <v>3</v>
      </c>
      <c r="O12" s="3" t="s">
        <v>14</v>
      </c>
      <c r="P12" s="3" t="s">
        <v>15</v>
      </c>
      <c r="Q12" s="3" t="s">
        <v>2</v>
      </c>
      <c r="R12" s="3" t="s">
        <v>3</v>
      </c>
      <c r="S12" s="3" t="s">
        <v>16</v>
      </c>
      <c r="T12" s="3" t="s">
        <v>17</v>
      </c>
    </row>
    <row r="13" spans="1:20" ht="15.75" customHeight="1" x14ac:dyDescent="0.2">
      <c r="A13" s="3">
        <v>1</v>
      </c>
      <c r="B13" s="5" t="s">
        <v>0</v>
      </c>
      <c r="C13" s="3">
        <v>0</v>
      </c>
      <c r="D13" s="3">
        <v>375</v>
      </c>
      <c r="E13" s="3">
        <v>1</v>
      </c>
      <c r="F13" s="5" t="s">
        <v>0</v>
      </c>
      <c r="G13" s="3">
        <v>0</v>
      </c>
      <c r="H13" s="3">
        <v>350</v>
      </c>
      <c r="I13" s="3">
        <v>1</v>
      </c>
      <c r="J13" s="5" t="s">
        <v>0</v>
      </c>
      <c r="K13" s="3">
        <v>0</v>
      </c>
      <c r="L13" s="3">
        <v>750</v>
      </c>
      <c r="M13" s="3">
        <v>1</v>
      </c>
      <c r="N13" s="5" t="s">
        <v>0</v>
      </c>
      <c r="O13" s="3">
        <v>0</v>
      </c>
      <c r="P13" s="3">
        <v>250</v>
      </c>
      <c r="Q13" s="3">
        <v>1</v>
      </c>
      <c r="R13" s="5" t="s">
        <v>0</v>
      </c>
      <c r="S13" s="3">
        <v>0</v>
      </c>
      <c r="T13" s="2">
        <v>9</v>
      </c>
    </row>
    <row r="14" spans="1:20" ht="15.75" customHeight="1" x14ac:dyDescent="0.2">
      <c r="A14" s="3">
        <v>2</v>
      </c>
      <c r="B14" s="3">
        <v>1</v>
      </c>
      <c r="C14">
        <f t="shared" ref="C14:C62" si="0">12.5*B14</f>
        <v>12.5</v>
      </c>
      <c r="D14">
        <f t="shared" ref="D14:D62" si="1">ROUND(D13+C14,0)</f>
        <v>388</v>
      </c>
      <c r="E14" s="3">
        <v>2</v>
      </c>
      <c r="F14" s="3">
        <v>1</v>
      </c>
      <c r="G14">
        <f t="shared" ref="G14:G62" si="2">23*F14</f>
        <v>23</v>
      </c>
      <c r="H14">
        <f t="shared" ref="H14:H62" si="3">ROUND(H13+G14,0)</f>
        <v>373</v>
      </c>
      <c r="I14" s="3">
        <v>2</v>
      </c>
      <c r="J14" s="3">
        <v>1</v>
      </c>
      <c r="K14">
        <f t="shared" ref="K14:K62" si="4">40*J14</f>
        <v>40</v>
      </c>
      <c r="L14">
        <f t="shared" ref="L14:L62" si="5">ROUND(L13+K14,0)</f>
        <v>790</v>
      </c>
      <c r="M14" s="3">
        <v>2</v>
      </c>
      <c r="N14" s="3">
        <v>1</v>
      </c>
      <c r="O14">
        <f t="shared" ref="O14:O62" si="6">10*N14</f>
        <v>10</v>
      </c>
      <c r="P14">
        <f t="shared" ref="P14:P62" si="7">ROUND(P13+O14,0)</f>
        <v>260</v>
      </c>
      <c r="Q14" s="3">
        <v>2</v>
      </c>
      <c r="R14" s="3">
        <v>1</v>
      </c>
      <c r="S14">
        <f t="shared" ref="S14:S62" si="8">$T$11*R14</f>
        <v>0.04</v>
      </c>
      <c r="T14">
        <f t="shared" ref="T14:T62" si="9">ROUND($T$13+SUM($S$13:S14),0)</f>
        <v>9</v>
      </c>
    </row>
    <row r="15" spans="1:20" ht="15.75" customHeight="1" x14ac:dyDescent="0.2">
      <c r="A15" s="3">
        <v>3</v>
      </c>
      <c r="B15" s="3">
        <v>1</v>
      </c>
      <c r="C15">
        <f t="shared" si="0"/>
        <v>12.5</v>
      </c>
      <c r="D15">
        <f t="shared" si="1"/>
        <v>401</v>
      </c>
      <c r="E15" s="3">
        <v>3</v>
      </c>
      <c r="F15" s="3">
        <v>1</v>
      </c>
      <c r="G15">
        <f t="shared" si="2"/>
        <v>23</v>
      </c>
      <c r="H15">
        <f t="shared" si="3"/>
        <v>396</v>
      </c>
      <c r="I15" s="3">
        <v>3</v>
      </c>
      <c r="J15" s="3">
        <v>1</v>
      </c>
      <c r="K15">
        <f t="shared" si="4"/>
        <v>40</v>
      </c>
      <c r="L15">
        <f t="shared" si="5"/>
        <v>830</v>
      </c>
      <c r="M15" s="3">
        <v>3</v>
      </c>
      <c r="N15" s="3">
        <v>1</v>
      </c>
      <c r="O15">
        <f t="shared" si="6"/>
        <v>10</v>
      </c>
      <c r="P15">
        <f t="shared" si="7"/>
        <v>270</v>
      </c>
      <c r="Q15" s="3">
        <v>3</v>
      </c>
      <c r="R15" s="3">
        <v>1</v>
      </c>
      <c r="S15">
        <f t="shared" si="8"/>
        <v>0.04</v>
      </c>
      <c r="T15">
        <f t="shared" si="9"/>
        <v>9</v>
      </c>
    </row>
    <row r="16" spans="1:20" ht="15.75" customHeight="1" x14ac:dyDescent="0.2">
      <c r="A16" s="3">
        <v>4</v>
      </c>
      <c r="B16" s="3">
        <v>1</v>
      </c>
      <c r="C16">
        <f t="shared" si="0"/>
        <v>12.5</v>
      </c>
      <c r="D16">
        <f t="shared" si="1"/>
        <v>414</v>
      </c>
      <c r="E16" s="3">
        <v>4</v>
      </c>
      <c r="F16" s="3">
        <v>1</v>
      </c>
      <c r="G16">
        <f t="shared" si="2"/>
        <v>23</v>
      </c>
      <c r="H16">
        <f t="shared" si="3"/>
        <v>419</v>
      </c>
      <c r="I16" s="3">
        <v>4</v>
      </c>
      <c r="J16" s="3">
        <v>1</v>
      </c>
      <c r="K16">
        <f t="shared" si="4"/>
        <v>40</v>
      </c>
      <c r="L16">
        <f t="shared" si="5"/>
        <v>870</v>
      </c>
      <c r="M16" s="3">
        <v>4</v>
      </c>
      <c r="N16" s="3">
        <v>1</v>
      </c>
      <c r="O16">
        <f t="shared" si="6"/>
        <v>10</v>
      </c>
      <c r="P16">
        <f t="shared" si="7"/>
        <v>280</v>
      </c>
      <c r="Q16" s="3">
        <v>4</v>
      </c>
      <c r="R16" s="3">
        <v>1</v>
      </c>
      <c r="S16">
        <f t="shared" si="8"/>
        <v>0.04</v>
      </c>
      <c r="T16">
        <f t="shared" si="9"/>
        <v>9</v>
      </c>
    </row>
    <row r="17" spans="1:20" ht="15.75" customHeight="1" x14ac:dyDescent="0.2">
      <c r="A17" s="3">
        <v>5</v>
      </c>
      <c r="B17" s="3">
        <v>1</v>
      </c>
      <c r="C17">
        <f t="shared" si="0"/>
        <v>12.5</v>
      </c>
      <c r="D17">
        <f t="shared" si="1"/>
        <v>427</v>
      </c>
      <c r="E17" s="3">
        <v>5</v>
      </c>
      <c r="F17" s="3">
        <v>1</v>
      </c>
      <c r="G17">
        <f t="shared" si="2"/>
        <v>23</v>
      </c>
      <c r="H17">
        <f t="shared" si="3"/>
        <v>442</v>
      </c>
      <c r="I17" s="3">
        <v>5</v>
      </c>
      <c r="J17" s="3">
        <v>1</v>
      </c>
      <c r="K17">
        <f t="shared" si="4"/>
        <v>40</v>
      </c>
      <c r="L17">
        <f t="shared" si="5"/>
        <v>910</v>
      </c>
      <c r="M17" s="3">
        <v>5</v>
      </c>
      <c r="N17" s="3">
        <v>1</v>
      </c>
      <c r="O17">
        <f t="shared" si="6"/>
        <v>10</v>
      </c>
      <c r="P17">
        <f t="shared" si="7"/>
        <v>290</v>
      </c>
      <c r="Q17" s="3">
        <v>5</v>
      </c>
      <c r="R17" s="3">
        <v>1</v>
      </c>
      <c r="S17">
        <f t="shared" si="8"/>
        <v>0.04</v>
      </c>
      <c r="T17">
        <f t="shared" si="9"/>
        <v>9</v>
      </c>
    </row>
    <row r="18" spans="1:20" ht="15.75" customHeight="1" x14ac:dyDescent="0.2">
      <c r="A18" s="3">
        <v>6</v>
      </c>
      <c r="B18" s="3">
        <v>1</v>
      </c>
      <c r="C18">
        <f t="shared" si="0"/>
        <v>12.5</v>
      </c>
      <c r="D18">
        <f t="shared" si="1"/>
        <v>440</v>
      </c>
      <c r="E18" s="3">
        <v>6</v>
      </c>
      <c r="F18" s="3">
        <v>1</v>
      </c>
      <c r="G18">
        <f t="shared" si="2"/>
        <v>23</v>
      </c>
      <c r="H18">
        <f t="shared" si="3"/>
        <v>465</v>
      </c>
      <c r="I18" s="3">
        <v>6</v>
      </c>
      <c r="J18" s="3">
        <v>1</v>
      </c>
      <c r="K18">
        <f t="shared" si="4"/>
        <v>40</v>
      </c>
      <c r="L18">
        <f t="shared" si="5"/>
        <v>950</v>
      </c>
      <c r="M18" s="3">
        <v>6</v>
      </c>
      <c r="N18" s="3">
        <v>1</v>
      </c>
      <c r="O18">
        <f t="shared" si="6"/>
        <v>10</v>
      </c>
      <c r="P18">
        <f t="shared" si="7"/>
        <v>300</v>
      </c>
      <c r="Q18" s="3">
        <v>6</v>
      </c>
      <c r="R18" s="3">
        <v>1</v>
      </c>
      <c r="S18">
        <f t="shared" si="8"/>
        <v>0.04</v>
      </c>
      <c r="T18">
        <f t="shared" si="9"/>
        <v>9</v>
      </c>
    </row>
    <row r="19" spans="1:20" ht="15.75" customHeight="1" x14ac:dyDescent="0.2">
      <c r="A19" s="3">
        <v>7</v>
      </c>
      <c r="B19" s="3">
        <v>1</v>
      </c>
      <c r="C19">
        <f t="shared" si="0"/>
        <v>12.5</v>
      </c>
      <c r="D19">
        <f t="shared" si="1"/>
        <v>453</v>
      </c>
      <c r="E19" s="3">
        <v>7</v>
      </c>
      <c r="F19" s="3">
        <v>1</v>
      </c>
      <c r="G19">
        <f t="shared" si="2"/>
        <v>23</v>
      </c>
      <c r="H19">
        <f t="shared" si="3"/>
        <v>488</v>
      </c>
      <c r="I19" s="3">
        <v>7</v>
      </c>
      <c r="J19" s="3">
        <v>1</v>
      </c>
      <c r="K19">
        <f t="shared" si="4"/>
        <v>40</v>
      </c>
      <c r="L19">
        <f t="shared" si="5"/>
        <v>990</v>
      </c>
      <c r="M19" s="3">
        <v>7</v>
      </c>
      <c r="N19" s="3">
        <v>1</v>
      </c>
      <c r="O19">
        <f t="shared" si="6"/>
        <v>10</v>
      </c>
      <c r="P19">
        <f t="shared" si="7"/>
        <v>310</v>
      </c>
      <c r="Q19" s="3">
        <v>7</v>
      </c>
      <c r="R19" s="3">
        <v>1</v>
      </c>
      <c r="S19">
        <f t="shared" si="8"/>
        <v>0.04</v>
      </c>
      <c r="T19">
        <f t="shared" si="9"/>
        <v>9</v>
      </c>
    </row>
    <row r="20" spans="1:20" ht="15.75" customHeight="1" x14ac:dyDescent="0.2">
      <c r="A20" s="3">
        <v>8</v>
      </c>
      <c r="B20" s="3">
        <v>1</v>
      </c>
      <c r="C20">
        <f t="shared" si="0"/>
        <v>12.5</v>
      </c>
      <c r="D20">
        <f t="shared" si="1"/>
        <v>466</v>
      </c>
      <c r="E20" s="3">
        <v>8</v>
      </c>
      <c r="F20" s="3">
        <v>1</v>
      </c>
      <c r="G20">
        <f t="shared" si="2"/>
        <v>23</v>
      </c>
      <c r="H20">
        <f t="shared" si="3"/>
        <v>511</v>
      </c>
      <c r="I20" s="3">
        <v>8</v>
      </c>
      <c r="J20" s="3">
        <v>1</v>
      </c>
      <c r="K20">
        <f t="shared" si="4"/>
        <v>40</v>
      </c>
      <c r="L20">
        <f t="shared" si="5"/>
        <v>1030</v>
      </c>
      <c r="M20" s="3">
        <v>8</v>
      </c>
      <c r="N20" s="3">
        <v>1</v>
      </c>
      <c r="O20">
        <f t="shared" si="6"/>
        <v>10</v>
      </c>
      <c r="P20">
        <f t="shared" si="7"/>
        <v>320</v>
      </c>
      <c r="Q20" s="3">
        <v>8</v>
      </c>
      <c r="R20" s="3">
        <v>1</v>
      </c>
      <c r="S20">
        <f t="shared" si="8"/>
        <v>0.04</v>
      </c>
      <c r="T20">
        <f t="shared" si="9"/>
        <v>9</v>
      </c>
    </row>
    <row r="21" spans="1:20" ht="15.75" customHeight="1" x14ac:dyDescent="0.2">
      <c r="A21" s="3">
        <v>9</v>
      </c>
      <c r="B21" s="3">
        <v>1</v>
      </c>
      <c r="C21">
        <f t="shared" si="0"/>
        <v>12.5</v>
      </c>
      <c r="D21">
        <f t="shared" si="1"/>
        <v>479</v>
      </c>
      <c r="E21" s="3">
        <v>9</v>
      </c>
      <c r="F21" s="3">
        <v>1</v>
      </c>
      <c r="G21">
        <f t="shared" si="2"/>
        <v>23</v>
      </c>
      <c r="H21">
        <f t="shared" si="3"/>
        <v>534</v>
      </c>
      <c r="I21" s="3">
        <v>9</v>
      </c>
      <c r="J21" s="3">
        <v>1</v>
      </c>
      <c r="K21">
        <f t="shared" si="4"/>
        <v>40</v>
      </c>
      <c r="L21">
        <f t="shared" si="5"/>
        <v>1070</v>
      </c>
      <c r="M21" s="3">
        <v>9</v>
      </c>
      <c r="N21" s="3">
        <v>1</v>
      </c>
      <c r="O21">
        <f t="shared" si="6"/>
        <v>10</v>
      </c>
      <c r="P21">
        <f t="shared" si="7"/>
        <v>330</v>
      </c>
      <c r="Q21" s="3">
        <v>9</v>
      </c>
      <c r="R21" s="3">
        <v>1</v>
      </c>
      <c r="S21">
        <f t="shared" si="8"/>
        <v>0.04</v>
      </c>
      <c r="T21">
        <f t="shared" si="9"/>
        <v>9</v>
      </c>
    </row>
    <row r="22" spans="1:20" ht="15.75" customHeight="1" x14ac:dyDescent="0.2">
      <c r="A22" s="3">
        <v>10</v>
      </c>
      <c r="B22" s="3">
        <v>1</v>
      </c>
      <c r="C22">
        <f t="shared" si="0"/>
        <v>12.5</v>
      </c>
      <c r="D22">
        <f t="shared" si="1"/>
        <v>492</v>
      </c>
      <c r="E22" s="3">
        <v>10</v>
      </c>
      <c r="F22" s="3">
        <v>1</v>
      </c>
      <c r="G22">
        <f t="shared" si="2"/>
        <v>23</v>
      </c>
      <c r="H22">
        <f t="shared" si="3"/>
        <v>557</v>
      </c>
      <c r="I22" s="3">
        <v>10</v>
      </c>
      <c r="J22" s="3">
        <v>1</v>
      </c>
      <c r="K22">
        <f t="shared" si="4"/>
        <v>40</v>
      </c>
      <c r="L22">
        <f t="shared" si="5"/>
        <v>1110</v>
      </c>
      <c r="M22" s="3">
        <v>10</v>
      </c>
      <c r="N22" s="3">
        <v>1</v>
      </c>
      <c r="O22">
        <f t="shared" si="6"/>
        <v>10</v>
      </c>
      <c r="P22">
        <f t="shared" si="7"/>
        <v>340</v>
      </c>
      <c r="Q22" s="3">
        <v>10</v>
      </c>
      <c r="R22" s="3">
        <v>1</v>
      </c>
      <c r="S22">
        <f t="shared" si="8"/>
        <v>0.04</v>
      </c>
      <c r="T22">
        <f t="shared" si="9"/>
        <v>9</v>
      </c>
    </row>
    <row r="23" spans="1:20" ht="15.75" customHeight="1" x14ac:dyDescent="0.2">
      <c r="A23" s="3">
        <v>11</v>
      </c>
      <c r="B23" s="3">
        <v>2</v>
      </c>
      <c r="C23">
        <f t="shared" si="0"/>
        <v>25</v>
      </c>
      <c r="D23">
        <f t="shared" si="1"/>
        <v>517</v>
      </c>
      <c r="E23" s="3">
        <v>11</v>
      </c>
      <c r="F23" s="3">
        <v>3</v>
      </c>
      <c r="G23">
        <f t="shared" si="2"/>
        <v>69</v>
      </c>
      <c r="H23">
        <f t="shared" si="3"/>
        <v>626</v>
      </c>
      <c r="I23" s="3">
        <v>11</v>
      </c>
      <c r="J23" s="3">
        <v>3</v>
      </c>
      <c r="K23">
        <f t="shared" si="4"/>
        <v>120</v>
      </c>
      <c r="L23">
        <f t="shared" si="5"/>
        <v>1230</v>
      </c>
      <c r="M23" s="3">
        <v>11</v>
      </c>
      <c r="N23" s="3">
        <v>3</v>
      </c>
      <c r="O23">
        <f t="shared" si="6"/>
        <v>30</v>
      </c>
      <c r="P23">
        <f t="shared" si="7"/>
        <v>370</v>
      </c>
      <c r="Q23" s="3">
        <v>11</v>
      </c>
      <c r="R23" s="3">
        <v>3</v>
      </c>
      <c r="S23">
        <f t="shared" si="8"/>
        <v>0.12</v>
      </c>
      <c r="T23">
        <f t="shared" si="9"/>
        <v>9</v>
      </c>
    </row>
    <row r="24" spans="1:20" ht="15.75" customHeight="1" x14ac:dyDescent="0.2">
      <c r="A24" s="3">
        <v>12</v>
      </c>
      <c r="B24" s="3">
        <v>2</v>
      </c>
      <c r="C24">
        <f t="shared" si="0"/>
        <v>25</v>
      </c>
      <c r="D24">
        <f t="shared" si="1"/>
        <v>542</v>
      </c>
      <c r="E24" s="3">
        <v>12</v>
      </c>
      <c r="F24" s="3">
        <v>3</v>
      </c>
      <c r="G24">
        <f t="shared" si="2"/>
        <v>69</v>
      </c>
      <c r="H24">
        <f t="shared" si="3"/>
        <v>695</v>
      </c>
      <c r="I24" s="3">
        <v>12</v>
      </c>
      <c r="J24" s="3">
        <v>3</v>
      </c>
      <c r="K24">
        <f t="shared" si="4"/>
        <v>120</v>
      </c>
      <c r="L24">
        <f t="shared" si="5"/>
        <v>1350</v>
      </c>
      <c r="M24" s="3">
        <v>12</v>
      </c>
      <c r="N24" s="3">
        <v>3</v>
      </c>
      <c r="O24">
        <f t="shared" si="6"/>
        <v>30</v>
      </c>
      <c r="P24">
        <f t="shared" si="7"/>
        <v>400</v>
      </c>
      <c r="Q24" s="3">
        <v>12</v>
      </c>
      <c r="R24" s="3">
        <v>3</v>
      </c>
      <c r="S24">
        <f t="shared" si="8"/>
        <v>0.12</v>
      </c>
      <c r="T24">
        <f t="shared" si="9"/>
        <v>10</v>
      </c>
    </row>
    <row r="25" spans="1:20" ht="15.75" customHeight="1" x14ac:dyDescent="0.2">
      <c r="A25" s="3">
        <v>13</v>
      </c>
      <c r="B25" s="3">
        <v>2</v>
      </c>
      <c r="C25">
        <f t="shared" si="0"/>
        <v>25</v>
      </c>
      <c r="D25">
        <f t="shared" si="1"/>
        <v>567</v>
      </c>
      <c r="E25" s="3">
        <v>13</v>
      </c>
      <c r="F25" s="3">
        <v>3</v>
      </c>
      <c r="G25">
        <f t="shared" si="2"/>
        <v>69</v>
      </c>
      <c r="H25">
        <f t="shared" si="3"/>
        <v>764</v>
      </c>
      <c r="I25" s="3">
        <v>13</v>
      </c>
      <c r="J25" s="3">
        <v>3</v>
      </c>
      <c r="K25">
        <f t="shared" si="4"/>
        <v>120</v>
      </c>
      <c r="L25">
        <f t="shared" si="5"/>
        <v>1470</v>
      </c>
      <c r="M25" s="3">
        <v>13</v>
      </c>
      <c r="N25" s="3">
        <v>3</v>
      </c>
      <c r="O25">
        <f t="shared" si="6"/>
        <v>30</v>
      </c>
      <c r="P25">
        <f t="shared" si="7"/>
        <v>430</v>
      </c>
      <c r="Q25" s="3">
        <v>13</v>
      </c>
      <c r="R25" s="3">
        <v>3</v>
      </c>
      <c r="S25">
        <f t="shared" si="8"/>
        <v>0.12</v>
      </c>
      <c r="T25">
        <f t="shared" si="9"/>
        <v>10</v>
      </c>
    </row>
    <row r="26" spans="1:20" ht="15.75" customHeight="1" x14ac:dyDescent="0.2">
      <c r="A26" s="3">
        <v>14</v>
      </c>
      <c r="B26" s="3">
        <v>2</v>
      </c>
      <c r="C26">
        <f t="shared" si="0"/>
        <v>25</v>
      </c>
      <c r="D26">
        <f t="shared" si="1"/>
        <v>592</v>
      </c>
      <c r="E26" s="3">
        <v>14</v>
      </c>
      <c r="F26" s="3">
        <v>3</v>
      </c>
      <c r="G26">
        <f t="shared" si="2"/>
        <v>69</v>
      </c>
      <c r="H26">
        <f t="shared" si="3"/>
        <v>833</v>
      </c>
      <c r="I26" s="3">
        <v>14</v>
      </c>
      <c r="J26" s="3">
        <v>3</v>
      </c>
      <c r="K26">
        <f t="shared" si="4"/>
        <v>120</v>
      </c>
      <c r="L26">
        <f t="shared" si="5"/>
        <v>1590</v>
      </c>
      <c r="M26" s="3">
        <v>14</v>
      </c>
      <c r="N26" s="3">
        <v>3</v>
      </c>
      <c r="O26">
        <f t="shared" si="6"/>
        <v>30</v>
      </c>
      <c r="P26">
        <f t="shared" si="7"/>
        <v>460</v>
      </c>
      <c r="Q26" s="3">
        <v>14</v>
      </c>
      <c r="R26" s="3">
        <v>3</v>
      </c>
      <c r="S26">
        <f t="shared" si="8"/>
        <v>0.12</v>
      </c>
      <c r="T26">
        <f t="shared" si="9"/>
        <v>10</v>
      </c>
    </row>
    <row r="27" spans="1:20" ht="15.75" customHeight="1" x14ac:dyDescent="0.2">
      <c r="A27" s="3">
        <v>15</v>
      </c>
      <c r="B27" s="3">
        <v>2</v>
      </c>
      <c r="C27">
        <f t="shared" si="0"/>
        <v>25</v>
      </c>
      <c r="D27">
        <f t="shared" si="1"/>
        <v>617</v>
      </c>
      <c r="E27" s="3">
        <v>15</v>
      </c>
      <c r="F27" s="3">
        <v>3</v>
      </c>
      <c r="G27">
        <f t="shared" si="2"/>
        <v>69</v>
      </c>
      <c r="H27">
        <f t="shared" si="3"/>
        <v>902</v>
      </c>
      <c r="I27" s="3">
        <v>15</v>
      </c>
      <c r="J27" s="3">
        <v>3</v>
      </c>
      <c r="K27">
        <f t="shared" si="4"/>
        <v>120</v>
      </c>
      <c r="L27">
        <f t="shared" si="5"/>
        <v>1710</v>
      </c>
      <c r="M27" s="3">
        <v>15</v>
      </c>
      <c r="N27" s="3">
        <v>3</v>
      </c>
      <c r="O27">
        <f t="shared" si="6"/>
        <v>30</v>
      </c>
      <c r="P27">
        <f t="shared" si="7"/>
        <v>490</v>
      </c>
      <c r="Q27" s="3">
        <v>15</v>
      </c>
      <c r="R27" s="3">
        <v>3</v>
      </c>
      <c r="S27">
        <f t="shared" si="8"/>
        <v>0.12</v>
      </c>
      <c r="T27">
        <f t="shared" si="9"/>
        <v>10</v>
      </c>
    </row>
    <row r="28" spans="1:20" ht="15.75" customHeight="1" x14ac:dyDescent="0.2">
      <c r="A28" s="3">
        <v>16</v>
      </c>
      <c r="B28" s="3">
        <v>2</v>
      </c>
      <c r="C28">
        <f t="shared" si="0"/>
        <v>25</v>
      </c>
      <c r="D28">
        <f t="shared" si="1"/>
        <v>642</v>
      </c>
      <c r="E28" s="3">
        <v>16</v>
      </c>
      <c r="F28" s="3">
        <v>3</v>
      </c>
      <c r="G28">
        <f t="shared" si="2"/>
        <v>69</v>
      </c>
      <c r="H28">
        <f t="shared" si="3"/>
        <v>971</v>
      </c>
      <c r="I28" s="3">
        <v>16</v>
      </c>
      <c r="J28" s="3">
        <v>3</v>
      </c>
      <c r="K28">
        <f t="shared" si="4"/>
        <v>120</v>
      </c>
      <c r="L28">
        <f t="shared" si="5"/>
        <v>1830</v>
      </c>
      <c r="M28" s="3">
        <v>16</v>
      </c>
      <c r="N28" s="3">
        <v>3</v>
      </c>
      <c r="O28">
        <f t="shared" si="6"/>
        <v>30</v>
      </c>
      <c r="P28">
        <f t="shared" si="7"/>
        <v>520</v>
      </c>
      <c r="Q28" s="3">
        <v>16</v>
      </c>
      <c r="R28" s="3">
        <v>3</v>
      </c>
      <c r="S28">
        <f t="shared" si="8"/>
        <v>0.12</v>
      </c>
      <c r="T28">
        <f t="shared" si="9"/>
        <v>10</v>
      </c>
    </row>
    <row r="29" spans="1:20" ht="15.75" customHeight="1" x14ac:dyDescent="0.2">
      <c r="A29" s="3">
        <v>17</v>
      </c>
      <c r="B29" s="3">
        <v>2</v>
      </c>
      <c r="C29">
        <f t="shared" si="0"/>
        <v>25</v>
      </c>
      <c r="D29">
        <f t="shared" si="1"/>
        <v>667</v>
      </c>
      <c r="E29" s="3">
        <v>17</v>
      </c>
      <c r="F29" s="3">
        <v>3</v>
      </c>
      <c r="G29">
        <f t="shared" si="2"/>
        <v>69</v>
      </c>
      <c r="H29">
        <f t="shared" si="3"/>
        <v>1040</v>
      </c>
      <c r="I29" s="3">
        <v>17</v>
      </c>
      <c r="J29" s="3">
        <v>3</v>
      </c>
      <c r="K29">
        <f t="shared" si="4"/>
        <v>120</v>
      </c>
      <c r="L29">
        <f t="shared" si="5"/>
        <v>1950</v>
      </c>
      <c r="M29" s="3">
        <v>17</v>
      </c>
      <c r="N29" s="3">
        <v>3</v>
      </c>
      <c r="O29">
        <f t="shared" si="6"/>
        <v>30</v>
      </c>
      <c r="P29">
        <f t="shared" si="7"/>
        <v>550</v>
      </c>
      <c r="Q29" s="3">
        <v>17</v>
      </c>
      <c r="R29" s="3">
        <v>3</v>
      </c>
      <c r="S29">
        <f t="shared" si="8"/>
        <v>0.12</v>
      </c>
      <c r="T29">
        <f t="shared" si="9"/>
        <v>10</v>
      </c>
    </row>
    <row r="30" spans="1:20" ht="15.75" customHeight="1" x14ac:dyDescent="0.2">
      <c r="A30" s="3">
        <v>18</v>
      </c>
      <c r="B30" s="3">
        <v>2</v>
      </c>
      <c r="C30">
        <f t="shared" si="0"/>
        <v>25</v>
      </c>
      <c r="D30">
        <f t="shared" si="1"/>
        <v>692</v>
      </c>
      <c r="E30" s="3">
        <v>18</v>
      </c>
      <c r="F30" s="3">
        <v>3</v>
      </c>
      <c r="G30">
        <f t="shared" si="2"/>
        <v>69</v>
      </c>
      <c r="H30">
        <f t="shared" si="3"/>
        <v>1109</v>
      </c>
      <c r="I30" s="3">
        <v>18</v>
      </c>
      <c r="J30" s="3">
        <v>3</v>
      </c>
      <c r="K30">
        <f t="shared" si="4"/>
        <v>120</v>
      </c>
      <c r="L30">
        <f t="shared" si="5"/>
        <v>2070</v>
      </c>
      <c r="M30" s="3">
        <v>18</v>
      </c>
      <c r="N30" s="3">
        <v>3</v>
      </c>
      <c r="O30">
        <f t="shared" si="6"/>
        <v>30</v>
      </c>
      <c r="P30">
        <f t="shared" si="7"/>
        <v>580</v>
      </c>
      <c r="Q30" s="3">
        <v>18</v>
      </c>
      <c r="R30" s="3">
        <v>3</v>
      </c>
      <c r="S30">
        <f t="shared" si="8"/>
        <v>0.12</v>
      </c>
      <c r="T30">
        <f t="shared" si="9"/>
        <v>10</v>
      </c>
    </row>
    <row r="31" spans="1:20" ht="15.75" customHeight="1" x14ac:dyDescent="0.2">
      <c r="A31" s="3">
        <v>19</v>
      </c>
      <c r="B31" s="3">
        <v>2</v>
      </c>
      <c r="C31">
        <f t="shared" si="0"/>
        <v>25</v>
      </c>
      <c r="D31">
        <f t="shared" si="1"/>
        <v>717</v>
      </c>
      <c r="E31" s="3">
        <v>19</v>
      </c>
      <c r="F31" s="3">
        <v>3</v>
      </c>
      <c r="G31">
        <f t="shared" si="2"/>
        <v>69</v>
      </c>
      <c r="H31">
        <f t="shared" si="3"/>
        <v>1178</v>
      </c>
      <c r="I31" s="3">
        <v>19</v>
      </c>
      <c r="J31" s="3">
        <v>3</v>
      </c>
      <c r="K31">
        <f t="shared" si="4"/>
        <v>120</v>
      </c>
      <c r="L31">
        <f t="shared" si="5"/>
        <v>2190</v>
      </c>
      <c r="M31" s="3">
        <v>19</v>
      </c>
      <c r="N31" s="3">
        <v>3</v>
      </c>
      <c r="O31">
        <f t="shared" si="6"/>
        <v>30</v>
      </c>
      <c r="P31">
        <f t="shared" si="7"/>
        <v>610</v>
      </c>
      <c r="Q31" s="3">
        <v>19</v>
      </c>
      <c r="R31" s="3">
        <v>3</v>
      </c>
      <c r="S31">
        <f t="shared" si="8"/>
        <v>0.12</v>
      </c>
      <c r="T31">
        <f t="shared" si="9"/>
        <v>10</v>
      </c>
    </row>
    <row r="32" spans="1:20" ht="15.75" customHeight="1" x14ac:dyDescent="0.2">
      <c r="A32" s="3">
        <v>20</v>
      </c>
      <c r="B32" s="3">
        <v>2</v>
      </c>
      <c r="C32">
        <f t="shared" si="0"/>
        <v>25</v>
      </c>
      <c r="D32">
        <f t="shared" si="1"/>
        <v>742</v>
      </c>
      <c r="E32" s="3">
        <v>20</v>
      </c>
      <c r="F32" s="3">
        <v>3</v>
      </c>
      <c r="G32">
        <f t="shared" si="2"/>
        <v>69</v>
      </c>
      <c r="H32">
        <f t="shared" si="3"/>
        <v>1247</v>
      </c>
      <c r="I32" s="3">
        <v>20</v>
      </c>
      <c r="J32" s="3">
        <v>3</v>
      </c>
      <c r="K32">
        <f t="shared" si="4"/>
        <v>120</v>
      </c>
      <c r="L32">
        <f t="shared" si="5"/>
        <v>2310</v>
      </c>
      <c r="M32" s="3">
        <v>20</v>
      </c>
      <c r="N32" s="3">
        <v>3</v>
      </c>
      <c r="O32">
        <f t="shared" si="6"/>
        <v>30</v>
      </c>
      <c r="P32">
        <f t="shared" si="7"/>
        <v>640</v>
      </c>
      <c r="Q32" s="3">
        <v>20</v>
      </c>
      <c r="R32" s="3">
        <v>3</v>
      </c>
      <c r="S32">
        <f t="shared" si="8"/>
        <v>0.12</v>
      </c>
      <c r="T32">
        <f t="shared" si="9"/>
        <v>11</v>
      </c>
    </row>
    <row r="33" spans="1:20" ht="15.75" customHeight="1" x14ac:dyDescent="0.2">
      <c r="A33" s="3">
        <v>21</v>
      </c>
      <c r="B33" s="3">
        <v>3</v>
      </c>
      <c r="C33">
        <f t="shared" si="0"/>
        <v>37.5</v>
      </c>
      <c r="D33">
        <f t="shared" si="1"/>
        <v>780</v>
      </c>
      <c r="E33" s="3">
        <v>21</v>
      </c>
      <c r="F33" s="3">
        <v>5</v>
      </c>
      <c r="G33">
        <f t="shared" si="2"/>
        <v>115</v>
      </c>
      <c r="H33">
        <f t="shared" si="3"/>
        <v>1362</v>
      </c>
      <c r="I33" s="3">
        <v>21</v>
      </c>
      <c r="J33" s="3">
        <v>5</v>
      </c>
      <c r="K33">
        <f t="shared" si="4"/>
        <v>200</v>
      </c>
      <c r="L33">
        <f t="shared" si="5"/>
        <v>2510</v>
      </c>
      <c r="M33" s="3">
        <v>21</v>
      </c>
      <c r="N33" s="3">
        <v>5</v>
      </c>
      <c r="O33">
        <f t="shared" si="6"/>
        <v>50</v>
      </c>
      <c r="P33">
        <f t="shared" si="7"/>
        <v>690</v>
      </c>
      <c r="Q33" s="3">
        <v>21</v>
      </c>
      <c r="R33" s="3">
        <v>5</v>
      </c>
      <c r="S33">
        <f t="shared" si="8"/>
        <v>0.2</v>
      </c>
      <c r="T33">
        <f t="shared" si="9"/>
        <v>11</v>
      </c>
    </row>
    <row r="34" spans="1:20" ht="15.75" customHeight="1" x14ac:dyDescent="0.2">
      <c r="A34" s="3">
        <v>22</v>
      </c>
      <c r="B34" s="3">
        <v>3</v>
      </c>
      <c r="C34">
        <f t="shared" si="0"/>
        <v>37.5</v>
      </c>
      <c r="D34">
        <f t="shared" si="1"/>
        <v>818</v>
      </c>
      <c r="E34" s="3">
        <v>22</v>
      </c>
      <c r="F34" s="3">
        <v>5</v>
      </c>
      <c r="G34">
        <f t="shared" si="2"/>
        <v>115</v>
      </c>
      <c r="H34">
        <f t="shared" si="3"/>
        <v>1477</v>
      </c>
      <c r="I34" s="3">
        <v>22</v>
      </c>
      <c r="J34" s="3">
        <v>5</v>
      </c>
      <c r="K34">
        <f t="shared" si="4"/>
        <v>200</v>
      </c>
      <c r="L34">
        <f t="shared" si="5"/>
        <v>2710</v>
      </c>
      <c r="M34" s="3">
        <v>22</v>
      </c>
      <c r="N34" s="3">
        <v>5</v>
      </c>
      <c r="O34">
        <f t="shared" si="6"/>
        <v>50</v>
      </c>
      <c r="P34">
        <f t="shared" si="7"/>
        <v>740</v>
      </c>
      <c r="Q34" s="3">
        <v>22</v>
      </c>
      <c r="R34" s="3">
        <v>5</v>
      </c>
      <c r="S34">
        <f t="shared" si="8"/>
        <v>0.2</v>
      </c>
      <c r="T34">
        <f t="shared" si="9"/>
        <v>11</v>
      </c>
    </row>
    <row r="35" spans="1:20" ht="15.75" customHeight="1" x14ac:dyDescent="0.2">
      <c r="A35" s="3">
        <v>23</v>
      </c>
      <c r="B35" s="3">
        <v>3</v>
      </c>
      <c r="C35">
        <f t="shared" si="0"/>
        <v>37.5</v>
      </c>
      <c r="D35">
        <f t="shared" si="1"/>
        <v>856</v>
      </c>
      <c r="E35" s="3">
        <v>23</v>
      </c>
      <c r="F35" s="3">
        <v>5</v>
      </c>
      <c r="G35">
        <f t="shared" si="2"/>
        <v>115</v>
      </c>
      <c r="H35">
        <f t="shared" si="3"/>
        <v>1592</v>
      </c>
      <c r="I35" s="3">
        <v>23</v>
      </c>
      <c r="J35" s="3">
        <v>5</v>
      </c>
      <c r="K35">
        <f t="shared" si="4"/>
        <v>200</v>
      </c>
      <c r="L35">
        <f t="shared" si="5"/>
        <v>2910</v>
      </c>
      <c r="M35" s="3">
        <v>23</v>
      </c>
      <c r="N35" s="3">
        <v>5</v>
      </c>
      <c r="O35">
        <f t="shared" si="6"/>
        <v>50</v>
      </c>
      <c r="P35">
        <f t="shared" si="7"/>
        <v>790</v>
      </c>
      <c r="Q35" s="3">
        <v>23</v>
      </c>
      <c r="R35" s="3">
        <v>5</v>
      </c>
      <c r="S35">
        <f t="shared" si="8"/>
        <v>0.2</v>
      </c>
      <c r="T35">
        <f t="shared" si="9"/>
        <v>11</v>
      </c>
    </row>
    <row r="36" spans="1:20" ht="15.75" customHeight="1" x14ac:dyDescent="0.2">
      <c r="A36" s="3">
        <v>24</v>
      </c>
      <c r="B36" s="3">
        <v>3</v>
      </c>
      <c r="C36">
        <f t="shared" si="0"/>
        <v>37.5</v>
      </c>
      <c r="D36">
        <f t="shared" si="1"/>
        <v>894</v>
      </c>
      <c r="E36" s="3">
        <v>24</v>
      </c>
      <c r="F36" s="3">
        <v>5</v>
      </c>
      <c r="G36">
        <f t="shared" si="2"/>
        <v>115</v>
      </c>
      <c r="H36">
        <f t="shared" si="3"/>
        <v>1707</v>
      </c>
      <c r="I36" s="3">
        <v>24</v>
      </c>
      <c r="J36" s="3">
        <v>5</v>
      </c>
      <c r="K36">
        <f t="shared" si="4"/>
        <v>200</v>
      </c>
      <c r="L36">
        <f t="shared" si="5"/>
        <v>3110</v>
      </c>
      <c r="M36" s="3">
        <v>24</v>
      </c>
      <c r="N36" s="3">
        <v>5</v>
      </c>
      <c r="O36">
        <f t="shared" si="6"/>
        <v>50</v>
      </c>
      <c r="P36">
        <f t="shared" si="7"/>
        <v>840</v>
      </c>
      <c r="Q36" s="3">
        <v>24</v>
      </c>
      <c r="R36" s="3">
        <v>5</v>
      </c>
      <c r="S36">
        <f t="shared" si="8"/>
        <v>0.2</v>
      </c>
      <c r="T36">
        <f t="shared" si="9"/>
        <v>11</v>
      </c>
    </row>
    <row r="37" spans="1:20" ht="15.75" customHeight="1" x14ac:dyDescent="0.2">
      <c r="A37" s="3">
        <v>25</v>
      </c>
      <c r="B37" s="3">
        <v>3</v>
      </c>
      <c r="C37">
        <f t="shared" si="0"/>
        <v>37.5</v>
      </c>
      <c r="D37">
        <f t="shared" si="1"/>
        <v>932</v>
      </c>
      <c r="E37" s="3">
        <v>25</v>
      </c>
      <c r="F37" s="3">
        <v>5</v>
      </c>
      <c r="G37">
        <f t="shared" si="2"/>
        <v>115</v>
      </c>
      <c r="H37">
        <f t="shared" si="3"/>
        <v>1822</v>
      </c>
      <c r="I37" s="3">
        <v>25</v>
      </c>
      <c r="J37" s="3">
        <v>5</v>
      </c>
      <c r="K37">
        <f t="shared" si="4"/>
        <v>200</v>
      </c>
      <c r="L37">
        <f t="shared" si="5"/>
        <v>3310</v>
      </c>
      <c r="M37" s="3">
        <v>25</v>
      </c>
      <c r="N37" s="3">
        <v>5</v>
      </c>
      <c r="O37">
        <f t="shared" si="6"/>
        <v>50</v>
      </c>
      <c r="P37">
        <f t="shared" si="7"/>
        <v>890</v>
      </c>
      <c r="Q37" s="3">
        <v>25</v>
      </c>
      <c r="R37" s="3">
        <v>5</v>
      </c>
      <c r="S37">
        <f t="shared" si="8"/>
        <v>0.2</v>
      </c>
      <c r="T37">
        <f t="shared" si="9"/>
        <v>12</v>
      </c>
    </row>
    <row r="38" spans="1:20" ht="15.75" customHeight="1" x14ac:dyDescent="0.2">
      <c r="A38" s="3">
        <v>26</v>
      </c>
      <c r="B38" s="3">
        <v>3</v>
      </c>
      <c r="C38">
        <f t="shared" si="0"/>
        <v>37.5</v>
      </c>
      <c r="D38">
        <f t="shared" si="1"/>
        <v>970</v>
      </c>
      <c r="E38" s="3">
        <v>26</v>
      </c>
      <c r="F38" s="3">
        <v>5</v>
      </c>
      <c r="G38">
        <f t="shared" si="2"/>
        <v>115</v>
      </c>
      <c r="H38">
        <f t="shared" si="3"/>
        <v>1937</v>
      </c>
      <c r="I38" s="3">
        <v>26</v>
      </c>
      <c r="J38" s="3">
        <v>5</v>
      </c>
      <c r="K38">
        <f t="shared" si="4"/>
        <v>200</v>
      </c>
      <c r="L38">
        <f t="shared" si="5"/>
        <v>3510</v>
      </c>
      <c r="M38" s="3">
        <v>26</v>
      </c>
      <c r="N38" s="3">
        <v>5</v>
      </c>
      <c r="O38">
        <f t="shared" si="6"/>
        <v>50</v>
      </c>
      <c r="P38">
        <f t="shared" si="7"/>
        <v>940</v>
      </c>
      <c r="Q38" s="3">
        <v>26</v>
      </c>
      <c r="R38" s="3">
        <v>5</v>
      </c>
      <c r="S38">
        <f t="shared" si="8"/>
        <v>0.2</v>
      </c>
      <c r="T38">
        <f t="shared" si="9"/>
        <v>12</v>
      </c>
    </row>
    <row r="39" spans="1:20" ht="15.75" customHeight="1" x14ac:dyDescent="0.2">
      <c r="A39" s="3">
        <v>27</v>
      </c>
      <c r="B39" s="3">
        <v>3</v>
      </c>
      <c r="C39">
        <f t="shared" si="0"/>
        <v>37.5</v>
      </c>
      <c r="D39">
        <f t="shared" si="1"/>
        <v>1008</v>
      </c>
      <c r="E39" s="3">
        <v>27</v>
      </c>
      <c r="F39" s="3">
        <v>5</v>
      </c>
      <c r="G39">
        <f t="shared" si="2"/>
        <v>115</v>
      </c>
      <c r="H39">
        <f t="shared" si="3"/>
        <v>2052</v>
      </c>
      <c r="I39" s="3">
        <v>27</v>
      </c>
      <c r="J39" s="3">
        <v>5</v>
      </c>
      <c r="K39">
        <f t="shared" si="4"/>
        <v>200</v>
      </c>
      <c r="L39">
        <f t="shared" si="5"/>
        <v>3710</v>
      </c>
      <c r="M39" s="3">
        <v>27</v>
      </c>
      <c r="N39" s="3">
        <v>5</v>
      </c>
      <c r="O39">
        <f t="shared" si="6"/>
        <v>50</v>
      </c>
      <c r="P39">
        <f t="shared" si="7"/>
        <v>990</v>
      </c>
      <c r="Q39" s="3">
        <v>27</v>
      </c>
      <c r="R39" s="3">
        <v>5</v>
      </c>
      <c r="S39">
        <f t="shared" si="8"/>
        <v>0.2</v>
      </c>
      <c r="T39">
        <f t="shared" si="9"/>
        <v>12</v>
      </c>
    </row>
    <row r="40" spans="1:20" ht="15.75" customHeight="1" x14ac:dyDescent="0.2">
      <c r="A40" s="3">
        <v>28</v>
      </c>
      <c r="B40" s="3">
        <v>3</v>
      </c>
      <c r="C40">
        <f t="shared" si="0"/>
        <v>37.5</v>
      </c>
      <c r="D40">
        <f t="shared" si="1"/>
        <v>1046</v>
      </c>
      <c r="E40" s="3">
        <v>28</v>
      </c>
      <c r="F40" s="3">
        <v>5</v>
      </c>
      <c r="G40">
        <f t="shared" si="2"/>
        <v>115</v>
      </c>
      <c r="H40">
        <f t="shared" si="3"/>
        <v>2167</v>
      </c>
      <c r="I40" s="3">
        <v>28</v>
      </c>
      <c r="J40" s="3">
        <v>5</v>
      </c>
      <c r="K40">
        <f t="shared" si="4"/>
        <v>200</v>
      </c>
      <c r="L40">
        <f t="shared" si="5"/>
        <v>3910</v>
      </c>
      <c r="M40" s="3">
        <v>28</v>
      </c>
      <c r="N40" s="3">
        <v>5</v>
      </c>
      <c r="O40">
        <f t="shared" si="6"/>
        <v>50</v>
      </c>
      <c r="P40">
        <f t="shared" si="7"/>
        <v>1040</v>
      </c>
      <c r="Q40" s="3">
        <v>28</v>
      </c>
      <c r="R40" s="3">
        <v>5</v>
      </c>
      <c r="S40">
        <f t="shared" si="8"/>
        <v>0.2</v>
      </c>
      <c r="T40">
        <f t="shared" si="9"/>
        <v>12</v>
      </c>
    </row>
    <row r="41" spans="1:20" ht="15.75" customHeight="1" x14ac:dyDescent="0.2">
      <c r="A41" s="3">
        <v>29</v>
      </c>
      <c r="B41" s="3">
        <v>3</v>
      </c>
      <c r="C41">
        <f t="shared" si="0"/>
        <v>37.5</v>
      </c>
      <c r="D41">
        <f t="shared" si="1"/>
        <v>1084</v>
      </c>
      <c r="E41" s="3">
        <v>29</v>
      </c>
      <c r="F41" s="3">
        <v>5</v>
      </c>
      <c r="G41">
        <f t="shared" si="2"/>
        <v>115</v>
      </c>
      <c r="H41">
        <f t="shared" si="3"/>
        <v>2282</v>
      </c>
      <c r="I41" s="3">
        <v>29</v>
      </c>
      <c r="J41" s="3">
        <v>5</v>
      </c>
      <c r="K41">
        <f t="shared" si="4"/>
        <v>200</v>
      </c>
      <c r="L41">
        <f t="shared" si="5"/>
        <v>4110</v>
      </c>
      <c r="M41" s="3">
        <v>29</v>
      </c>
      <c r="N41" s="3">
        <v>5</v>
      </c>
      <c r="O41">
        <f t="shared" si="6"/>
        <v>50</v>
      </c>
      <c r="P41">
        <f t="shared" si="7"/>
        <v>1090</v>
      </c>
      <c r="Q41" s="3">
        <v>29</v>
      </c>
      <c r="R41" s="3">
        <v>5</v>
      </c>
      <c r="S41">
        <f t="shared" si="8"/>
        <v>0.2</v>
      </c>
      <c r="T41">
        <f t="shared" si="9"/>
        <v>12</v>
      </c>
    </row>
    <row r="42" spans="1:20" ht="15.75" customHeight="1" x14ac:dyDescent="0.2">
      <c r="A42" s="3">
        <v>30</v>
      </c>
      <c r="B42" s="3">
        <v>3</v>
      </c>
      <c r="C42">
        <f t="shared" si="0"/>
        <v>37.5</v>
      </c>
      <c r="D42">
        <f t="shared" si="1"/>
        <v>1122</v>
      </c>
      <c r="E42" s="3">
        <v>30</v>
      </c>
      <c r="F42" s="3">
        <v>5</v>
      </c>
      <c r="G42">
        <f t="shared" si="2"/>
        <v>115</v>
      </c>
      <c r="H42">
        <f t="shared" si="3"/>
        <v>2397</v>
      </c>
      <c r="I42" s="3">
        <v>30</v>
      </c>
      <c r="J42" s="3">
        <v>5</v>
      </c>
      <c r="K42">
        <f t="shared" si="4"/>
        <v>200</v>
      </c>
      <c r="L42">
        <f t="shared" si="5"/>
        <v>4310</v>
      </c>
      <c r="M42" s="3">
        <v>30</v>
      </c>
      <c r="N42" s="3">
        <v>5</v>
      </c>
      <c r="O42">
        <f t="shared" si="6"/>
        <v>50</v>
      </c>
      <c r="P42">
        <f t="shared" si="7"/>
        <v>1140</v>
      </c>
      <c r="Q42" s="3">
        <v>30</v>
      </c>
      <c r="R42" s="3">
        <v>5</v>
      </c>
      <c r="S42">
        <f t="shared" si="8"/>
        <v>0.2</v>
      </c>
      <c r="T42">
        <f t="shared" si="9"/>
        <v>13</v>
      </c>
    </row>
    <row r="43" spans="1:20" ht="15.75" customHeight="1" x14ac:dyDescent="0.2">
      <c r="A43" s="3">
        <v>31</v>
      </c>
      <c r="B43" s="3">
        <v>5</v>
      </c>
      <c r="C43">
        <f t="shared" si="0"/>
        <v>62.5</v>
      </c>
      <c r="D43">
        <f t="shared" si="1"/>
        <v>1185</v>
      </c>
      <c r="E43" s="3">
        <v>31</v>
      </c>
      <c r="F43" s="3">
        <v>7</v>
      </c>
      <c r="G43">
        <f t="shared" si="2"/>
        <v>161</v>
      </c>
      <c r="H43">
        <f t="shared" si="3"/>
        <v>2558</v>
      </c>
      <c r="I43" s="3">
        <v>31</v>
      </c>
      <c r="J43" s="3">
        <v>7</v>
      </c>
      <c r="K43">
        <f t="shared" si="4"/>
        <v>280</v>
      </c>
      <c r="L43">
        <f t="shared" si="5"/>
        <v>4590</v>
      </c>
      <c r="M43" s="3">
        <v>31</v>
      </c>
      <c r="N43" s="3">
        <v>7</v>
      </c>
      <c r="O43">
        <f t="shared" si="6"/>
        <v>70</v>
      </c>
      <c r="P43">
        <f t="shared" si="7"/>
        <v>1210</v>
      </c>
      <c r="Q43" s="3">
        <v>31</v>
      </c>
      <c r="R43" s="3">
        <v>7</v>
      </c>
      <c r="S43">
        <f t="shared" si="8"/>
        <v>0.28000000000000003</v>
      </c>
      <c r="T43">
        <f t="shared" si="9"/>
        <v>13</v>
      </c>
    </row>
    <row r="44" spans="1:20" ht="15.75" customHeight="1" x14ac:dyDescent="0.2">
      <c r="A44" s="3">
        <v>32</v>
      </c>
      <c r="B44" s="3">
        <v>5</v>
      </c>
      <c r="C44">
        <f t="shared" si="0"/>
        <v>62.5</v>
      </c>
      <c r="D44">
        <f t="shared" si="1"/>
        <v>1248</v>
      </c>
      <c r="E44" s="3">
        <v>32</v>
      </c>
      <c r="F44" s="3">
        <v>7</v>
      </c>
      <c r="G44">
        <f t="shared" si="2"/>
        <v>161</v>
      </c>
      <c r="H44">
        <f t="shared" si="3"/>
        <v>2719</v>
      </c>
      <c r="I44" s="3">
        <v>32</v>
      </c>
      <c r="J44" s="3">
        <v>7</v>
      </c>
      <c r="K44">
        <f t="shared" si="4"/>
        <v>280</v>
      </c>
      <c r="L44">
        <f t="shared" si="5"/>
        <v>4870</v>
      </c>
      <c r="M44" s="3">
        <v>32</v>
      </c>
      <c r="N44" s="3">
        <v>7</v>
      </c>
      <c r="O44">
        <f t="shared" si="6"/>
        <v>70</v>
      </c>
      <c r="P44">
        <f t="shared" si="7"/>
        <v>1280</v>
      </c>
      <c r="Q44" s="3">
        <v>32</v>
      </c>
      <c r="R44" s="3">
        <v>7</v>
      </c>
      <c r="S44">
        <f t="shared" si="8"/>
        <v>0.28000000000000003</v>
      </c>
      <c r="T44">
        <f t="shared" si="9"/>
        <v>13</v>
      </c>
    </row>
    <row r="45" spans="1:20" ht="15.75" customHeight="1" x14ac:dyDescent="0.2">
      <c r="A45" s="3">
        <v>33</v>
      </c>
      <c r="B45" s="3">
        <v>5</v>
      </c>
      <c r="C45">
        <f t="shared" si="0"/>
        <v>62.5</v>
      </c>
      <c r="D45">
        <f t="shared" si="1"/>
        <v>1311</v>
      </c>
      <c r="E45" s="3">
        <v>33</v>
      </c>
      <c r="F45" s="3">
        <v>7</v>
      </c>
      <c r="G45">
        <f t="shared" si="2"/>
        <v>161</v>
      </c>
      <c r="H45">
        <f t="shared" si="3"/>
        <v>2880</v>
      </c>
      <c r="I45" s="3">
        <v>33</v>
      </c>
      <c r="J45" s="3">
        <v>7</v>
      </c>
      <c r="K45">
        <f t="shared" si="4"/>
        <v>280</v>
      </c>
      <c r="L45">
        <f t="shared" si="5"/>
        <v>5150</v>
      </c>
      <c r="M45" s="3">
        <v>33</v>
      </c>
      <c r="N45" s="3">
        <v>7</v>
      </c>
      <c r="O45">
        <f t="shared" si="6"/>
        <v>70</v>
      </c>
      <c r="P45">
        <f t="shared" si="7"/>
        <v>1350</v>
      </c>
      <c r="Q45" s="3">
        <v>33</v>
      </c>
      <c r="R45" s="3">
        <v>7</v>
      </c>
      <c r="S45">
        <f t="shared" si="8"/>
        <v>0.28000000000000003</v>
      </c>
      <c r="T45">
        <f t="shared" si="9"/>
        <v>13</v>
      </c>
    </row>
    <row r="46" spans="1:20" ht="15.75" customHeight="1" x14ac:dyDescent="0.2">
      <c r="A46" s="3">
        <v>34</v>
      </c>
      <c r="B46" s="3">
        <v>5</v>
      </c>
      <c r="C46">
        <f t="shared" si="0"/>
        <v>62.5</v>
      </c>
      <c r="D46">
        <f t="shared" si="1"/>
        <v>1374</v>
      </c>
      <c r="E46" s="3">
        <v>34</v>
      </c>
      <c r="F46" s="3">
        <v>7</v>
      </c>
      <c r="G46">
        <f t="shared" si="2"/>
        <v>161</v>
      </c>
      <c r="H46">
        <f t="shared" si="3"/>
        <v>3041</v>
      </c>
      <c r="I46" s="3">
        <v>34</v>
      </c>
      <c r="J46" s="3">
        <v>7</v>
      </c>
      <c r="K46">
        <f t="shared" si="4"/>
        <v>280</v>
      </c>
      <c r="L46">
        <f t="shared" si="5"/>
        <v>5430</v>
      </c>
      <c r="M46" s="3">
        <v>34</v>
      </c>
      <c r="N46" s="3">
        <v>7</v>
      </c>
      <c r="O46">
        <f t="shared" si="6"/>
        <v>70</v>
      </c>
      <c r="P46">
        <f t="shared" si="7"/>
        <v>1420</v>
      </c>
      <c r="Q46" s="3">
        <v>34</v>
      </c>
      <c r="R46" s="3">
        <v>7</v>
      </c>
      <c r="S46">
        <f t="shared" si="8"/>
        <v>0.28000000000000003</v>
      </c>
      <c r="T46">
        <f t="shared" si="9"/>
        <v>14</v>
      </c>
    </row>
    <row r="47" spans="1:20" ht="15.75" customHeight="1" x14ac:dyDescent="0.2">
      <c r="A47" s="3">
        <v>35</v>
      </c>
      <c r="B47" s="3">
        <v>5</v>
      </c>
      <c r="C47">
        <f t="shared" si="0"/>
        <v>62.5</v>
      </c>
      <c r="D47">
        <f t="shared" si="1"/>
        <v>1437</v>
      </c>
      <c r="E47" s="3">
        <v>35</v>
      </c>
      <c r="F47" s="3">
        <v>7</v>
      </c>
      <c r="G47">
        <f t="shared" si="2"/>
        <v>161</v>
      </c>
      <c r="H47">
        <f t="shared" si="3"/>
        <v>3202</v>
      </c>
      <c r="I47" s="3">
        <v>35</v>
      </c>
      <c r="J47" s="3">
        <v>7</v>
      </c>
      <c r="K47">
        <f t="shared" si="4"/>
        <v>280</v>
      </c>
      <c r="L47">
        <f t="shared" si="5"/>
        <v>5710</v>
      </c>
      <c r="M47" s="3">
        <v>35</v>
      </c>
      <c r="N47" s="3">
        <v>7</v>
      </c>
      <c r="O47">
        <f t="shared" si="6"/>
        <v>70</v>
      </c>
      <c r="P47">
        <f t="shared" si="7"/>
        <v>1490</v>
      </c>
      <c r="Q47" s="3">
        <v>35</v>
      </c>
      <c r="R47" s="3">
        <v>7</v>
      </c>
      <c r="S47">
        <f t="shared" si="8"/>
        <v>0.28000000000000003</v>
      </c>
      <c r="T47">
        <f t="shared" si="9"/>
        <v>14</v>
      </c>
    </row>
    <row r="48" spans="1:20" ht="15.75" customHeight="1" x14ac:dyDescent="0.2">
      <c r="A48" s="3">
        <v>36</v>
      </c>
      <c r="B48" s="3">
        <v>5</v>
      </c>
      <c r="C48">
        <f t="shared" si="0"/>
        <v>62.5</v>
      </c>
      <c r="D48">
        <f t="shared" si="1"/>
        <v>1500</v>
      </c>
      <c r="E48" s="3">
        <v>36</v>
      </c>
      <c r="F48" s="3">
        <v>7</v>
      </c>
      <c r="G48">
        <f t="shared" si="2"/>
        <v>161</v>
      </c>
      <c r="H48">
        <f t="shared" si="3"/>
        <v>3363</v>
      </c>
      <c r="I48" s="3">
        <v>36</v>
      </c>
      <c r="J48" s="3">
        <v>7</v>
      </c>
      <c r="K48">
        <f t="shared" si="4"/>
        <v>280</v>
      </c>
      <c r="L48">
        <f t="shared" si="5"/>
        <v>5990</v>
      </c>
      <c r="M48" s="3">
        <v>36</v>
      </c>
      <c r="N48" s="3">
        <v>7</v>
      </c>
      <c r="O48">
        <f t="shared" si="6"/>
        <v>70</v>
      </c>
      <c r="P48">
        <f t="shared" si="7"/>
        <v>1560</v>
      </c>
      <c r="Q48" s="3">
        <v>36</v>
      </c>
      <c r="R48" s="3">
        <v>7</v>
      </c>
      <c r="S48">
        <f t="shared" si="8"/>
        <v>0.28000000000000003</v>
      </c>
      <c r="T48">
        <f t="shared" si="9"/>
        <v>14</v>
      </c>
    </row>
    <row r="49" spans="1:20" ht="15.75" customHeight="1" x14ac:dyDescent="0.2">
      <c r="A49" s="3">
        <v>37</v>
      </c>
      <c r="B49" s="3">
        <v>5</v>
      </c>
      <c r="C49">
        <f t="shared" si="0"/>
        <v>62.5</v>
      </c>
      <c r="D49">
        <f t="shared" si="1"/>
        <v>1563</v>
      </c>
      <c r="E49" s="3">
        <v>37</v>
      </c>
      <c r="F49" s="3">
        <v>7</v>
      </c>
      <c r="G49">
        <f t="shared" si="2"/>
        <v>161</v>
      </c>
      <c r="H49">
        <f t="shared" si="3"/>
        <v>3524</v>
      </c>
      <c r="I49" s="3">
        <v>37</v>
      </c>
      <c r="J49" s="3">
        <v>7</v>
      </c>
      <c r="K49">
        <f t="shared" si="4"/>
        <v>280</v>
      </c>
      <c r="L49">
        <f t="shared" si="5"/>
        <v>6270</v>
      </c>
      <c r="M49" s="3">
        <v>37</v>
      </c>
      <c r="N49" s="3">
        <v>7</v>
      </c>
      <c r="O49">
        <f t="shared" si="6"/>
        <v>70</v>
      </c>
      <c r="P49">
        <f t="shared" si="7"/>
        <v>1630</v>
      </c>
      <c r="Q49" s="3">
        <v>37</v>
      </c>
      <c r="R49" s="3">
        <v>7</v>
      </c>
      <c r="S49">
        <f t="shared" si="8"/>
        <v>0.28000000000000003</v>
      </c>
      <c r="T49">
        <f t="shared" si="9"/>
        <v>15</v>
      </c>
    </row>
    <row r="50" spans="1:20" ht="15.75" customHeight="1" x14ac:dyDescent="0.2">
      <c r="A50" s="3">
        <v>38</v>
      </c>
      <c r="B50" s="3">
        <v>5</v>
      </c>
      <c r="C50">
        <f t="shared" si="0"/>
        <v>62.5</v>
      </c>
      <c r="D50">
        <f t="shared" si="1"/>
        <v>1626</v>
      </c>
      <c r="E50" s="3">
        <v>38</v>
      </c>
      <c r="F50" s="3">
        <v>7</v>
      </c>
      <c r="G50">
        <f t="shared" si="2"/>
        <v>161</v>
      </c>
      <c r="H50">
        <f t="shared" si="3"/>
        <v>3685</v>
      </c>
      <c r="I50" s="3">
        <v>38</v>
      </c>
      <c r="J50" s="3">
        <v>7</v>
      </c>
      <c r="K50">
        <f t="shared" si="4"/>
        <v>280</v>
      </c>
      <c r="L50">
        <f t="shared" si="5"/>
        <v>6550</v>
      </c>
      <c r="M50" s="3">
        <v>38</v>
      </c>
      <c r="N50" s="3">
        <v>7</v>
      </c>
      <c r="O50">
        <f t="shared" si="6"/>
        <v>70</v>
      </c>
      <c r="P50">
        <f t="shared" si="7"/>
        <v>1700</v>
      </c>
      <c r="Q50" s="3">
        <v>38</v>
      </c>
      <c r="R50" s="3">
        <v>7</v>
      </c>
      <c r="S50">
        <f t="shared" si="8"/>
        <v>0.28000000000000003</v>
      </c>
      <c r="T50">
        <f t="shared" si="9"/>
        <v>15</v>
      </c>
    </row>
    <row r="51" spans="1:20" ht="15.75" customHeight="1" x14ac:dyDescent="0.2">
      <c r="A51" s="3">
        <v>39</v>
      </c>
      <c r="B51" s="3">
        <v>5</v>
      </c>
      <c r="C51">
        <f t="shared" si="0"/>
        <v>62.5</v>
      </c>
      <c r="D51">
        <f t="shared" si="1"/>
        <v>1689</v>
      </c>
      <c r="E51" s="3">
        <v>39</v>
      </c>
      <c r="F51" s="3">
        <v>7</v>
      </c>
      <c r="G51">
        <f t="shared" si="2"/>
        <v>161</v>
      </c>
      <c r="H51">
        <f t="shared" si="3"/>
        <v>3846</v>
      </c>
      <c r="I51" s="3">
        <v>39</v>
      </c>
      <c r="J51" s="3">
        <v>7</v>
      </c>
      <c r="K51">
        <f t="shared" si="4"/>
        <v>280</v>
      </c>
      <c r="L51">
        <f t="shared" si="5"/>
        <v>6830</v>
      </c>
      <c r="M51" s="3">
        <v>39</v>
      </c>
      <c r="N51" s="3">
        <v>7</v>
      </c>
      <c r="O51">
        <f t="shared" si="6"/>
        <v>70</v>
      </c>
      <c r="P51">
        <f t="shared" si="7"/>
        <v>1770</v>
      </c>
      <c r="Q51" s="3">
        <v>39</v>
      </c>
      <c r="R51" s="3">
        <v>7</v>
      </c>
      <c r="S51">
        <f t="shared" si="8"/>
        <v>0.28000000000000003</v>
      </c>
      <c r="T51">
        <f t="shared" si="9"/>
        <v>15</v>
      </c>
    </row>
    <row r="52" spans="1:20" ht="15.75" customHeight="1" x14ac:dyDescent="0.2">
      <c r="A52" s="3">
        <v>40</v>
      </c>
      <c r="B52" s="3">
        <v>5</v>
      </c>
      <c r="C52">
        <f t="shared" si="0"/>
        <v>62.5</v>
      </c>
      <c r="D52">
        <f t="shared" si="1"/>
        <v>1752</v>
      </c>
      <c r="E52" s="3">
        <v>40</v>
      </c>
      <c r="F52" s="3">
        <v>7</v>
      </c>
      <c r="G52">
        <f t="shared" si="2"/>
        <v>161</v>
      </c>
      <c r="H52">
        <f t="shared" si="3"/>
        <v>4007</v>
      </c>
      <c r="I52" s="3">
        <v>40</v>
      </c>
      <c r="J52" s="3">
        <v>7</v>
      </c>
      <c r="K52">
        <f t="shared" si="4"/>
        <v>280</v>
      </c>
      <c r="L52">
        <f t="shared" si="5"/>
        <v>7110</v>
      </c>
      <c r="M52" s="3">
        <v>40</v>
      </c>
      <c r="N52" s="3">
        <v>7</v>
      </c>
      <c r="O52">
        <f t="shared" si="6"/>
        <v>70</v>
      </c>
      <c r="P52">
        <f t="shared" si="7"/>
        <v>1840</v>
      </c>
      <c r="Q52" s="3">
        <v>40</v>
      </c>
      <c r="R52" s="3">
        <v>7</v>
      </c>
      <c r="S52">
        <f t="shared" si="8"/>
        <v>0.28000000000000003</v>
      </c>
      <c r="T52">
        <f t="shared" si="9"/>
        <v>15</v>
      </c>
    </row>
    <row r="53" spans="1:20" ht="15.75" customHeight="1" x14ac:dyDescent="0.2">
      <c r="A53" s="3">
        <v>41</v>
      </c>
      <c r="B53" s="3">
        <v>9</v>
      </c>
      <c r="C53">
        <f t="shared" si="0"/>
        <v>112.5</v>
      </c>
      <c r="D53">
        <f t="shared" si="1"/>
        <v>1865</v>
      </c>
      <c r="E53" s="3">
        <v>41</v>
      </c>
      <c r="F53" s="3">
        <v>9</v>
      </c>
      <c r="G53">
        <f t="shared" si="2"/>
        <v>207</v>
      </c>
      <c r="H53">
        <f t="shared" si="3"/>
        <v>4214</v>
      </c>
      <c r="I53" s="3">
        <v>41</v>
      </c>
      <c r="J53" s="3">
        <v>9</v>
      </c>
      <c r="K53">
        <f t="shared" si="4"/>
        <v>360</v>
      </c>
      <c r="L53">
        <f t="shared" si="5"/>
        <v>7470</v>
      </c>
      <c r="M53" s="3">
        <v>41</v>
      </c>
      <c r="N53" s="3">
        <v>9</v>
      </c>
      <c r="O53">
        <f t="shared" si="6"/>
        <v>90</v>
      </c>
      <c r="P53">
        <f t="shared" si="7"/>
        <v>1930</v>
      </c>
      <c r="Q53" s="3">
        <v>41</v>
      </c>
      <c r="R53" s="3">
        <v>9</v>
      </c>
      <c r="S53">
        <f t="shared" si="8"/>
        <v>0.36</v>
      </c>
      <c r="T53">
        <f t="shared" si="9"/>
        <v>16</v>
      </c>
    </row>
    <row r="54" spans="1:20" ht="15.75" customHeight="1" x14ac:dyDescent="0.2">
      <c r="A54" s="3">
        <v>42</v>
      </c>
      <c r="B54" s="3">
        <v>9</v>
      </c>
      <c r="C54">
        <f t="shared" si="0"/>
        <v>112.5</v>
      </c>
      <c r="D54">
        <f t="shared" si="1"/>
        <v>1978</v>
      </c>
      <c r="E54" s="3">
        <v>42</v>
      </c>
      <c r="F54" s="3">
        <v>9</v>
      </c>
      <c r="G54">
        <f t="shared" si="2"/>
        <v>207</v>
      </c>
      <c r="H54">
        <f t="shared" si="3"/>
        <v>4421</v>
      </c>
      <c r="I54" s="3">
        <v>42</v>
      </c>
      <c r="J54" s="3">
        <v>9</v>
      </c>
      <c r="K54">
        <f t="shared" si="4"/>
        <v>360</v>
      </c>
      <c r="L54">
        <f t="shared" si="5"/>
        <v>7830</v>
      </c>
      <c r="M54" s="3">
        <v>42</v>
      </c>
      <c r="N54" s="3">
        <v>9</v>
      </c>
      <c r="O54">
        <f t="shared" si="6"/>
        <v>90</v>
      </c>
      <c r="P54">
        <f t="shared" si="7"/>
        <v>2020</v>
      </c>
      <c r="Q54" s="3">
        <v>42</v>
      </c>
      <c r="R54" s="3">
        <v>9</v>
      </c>
      <c r="S54">
        <f t="shared" si="8"/>
        <v>0.36</v>
      </c>
      <c r="T54">
        <f t="shared" si="9"/>
        <v>16</v>
      </c>
    </row>
    <row r="55" spans="1:20" ht="15.75" customHeight="1" x14ac:dyDescent="0.2">
      <c r="A55" s="3">
        <v>43</v>
      </c>
      <c r="B55" s="3">
        <v>9</v>
      </c>
      <c r="C55">
        <f t="shared" si="0"/>
        <v>112.5</v>
      </c>
      <c r="D55">
        <f t="shared" si="1"/>
        <v>2091</v>
      </c>
      <c r="E55" s="3">
        <v>43</v>
      </c>
      <c r="F55" s="3">
        <v>9</v>
      </c>
      <c r="G55">
        <f t="shared" si="2"/>
        <v>207</v>
      </c>
      <c r="H55">
        <f t="shared" si="3"/>
        <v>4628</v>
      </c>
      <c r="I55" s="3">
        <v>43</v>
      </c>
      <c r="J55" s="3">
        <v>9</v>
      </c>
      <c r="K55">
        <f t="shared" si="4"/>
        <v>360</v>
      </c>
      <c r="L55">
        <f t="shared" si="5"/>
        <v>8190</v>
      </c>
      <c r="M55" s="3">
        <v>43</v>
      </c>
      <c r="N55" s="3">
        <v>9</v>
      </c>
      <c r="O55">
        <f t="shared" si="6"/>
        <v>90</v>
      </c>
      <c r="P55">
        <f t="shared" si="7"/>
        <v>2110</v>
      </c>
      <c r="Q55" s="3">
        <v>43</v>
      </c>
      <c r="R55" s="3">
        <v>9</v>
      </c>
      <c r="S55">
        <f t="shared" si="8"/>
        <v>0.36</v>
      </c>
      <c r="T55">
        <f t="shared" si="9"/>
        <v>16</v>
      </c>
    </row>
    <row r="56" spans="1:20" ht="12.75" x14ac:dyDescent="0.2">
      <c r="A56" s="3">
        <v>44</v>
      </c>
      <c r="B56" s="3">
        <v>9</v>
      </c>
      <c r="C56">
        <f t="shared" si="0"/>
        <v>112.5</v>
      </c>
      <c r="D56">
        <f t="shared" si="1"/>
        <v>2204</v>
      </c>
      <c r="E56" s="3">
        <v>44</v>
      </c>
      <c r="F56" s="3">
        <v>9</v>
      </c>
      <c r="G56">
        <f t="shared" si="2"/>
        <v>207</v>
      </c>
      <c r="H56">
        <f t="shared" si="3"/>
        <v>4835</v>
      </c>
      <c r="I56" s="3">
        <v>44</v>
      </c>
      <c r="J56" s="3">
        <v>9</v>
      </c>
      <c r="K56">
        <f t="shared" si="4"/>
        <v>360</v>
      </c>
      <c r="L56">
        <f t="shared" si="5"/>
        <v>8550</v>
      </c>
      <c r="M56" s="3">
        <v>44</v>
      </c>
      <c r="N56" s="3">
        <v>9</v>
      </c>
      <c r="O56">
        <f t="shared" si="6"/>
        <v>90</v>
      </c>
      <c r="P56">
        <f t="shared" si="7"/>
        <v>2200</v>
      </c>
      <c r="Q56" s="3">
        <v>44</v>
      </c>
      <c r="R56" s="3">
        <v>9</v>
      </c>
      <c r="S56">
        <f t="shared" si="8"/>
        <v>0.36</v>
      </c>
      <c r="T56">
        <f t="shared" si="9"/>
        <v>17</v>
      </c>
    </row>
    <row r="57" spans="1:20" ht="12.75" x14ac:dyDescent="0.2">
      <c r="A57" s="3">
        <v>45</v>
      </c>
      <c r="B57" s="3">
        <v>9</v>
      </c>
      <c r="C57">
        <f t="shared" si="0"/>
        <v>112.5</v>
      </c>
      <c r="D57">
        <f t="shared" si="1"/>
        <v>2317</v>
      </c>
      <c r="E57" s="3">
        <v>45</v>
      </c>
      <c r="F57" s="3">
        <v>9</v>
      </c>
      <c r="G57">
        <f t="shared" si="2"/>
        <v>207</v>
      </c>
      <c r="H57">
        <f t="shared" si="3"/>
        <v>5042</v>
      </c>
      <c r="I57" s="3">
        <v>45</v>
      </c>
      <c r="J57" s="3">
        <v>9</v>
      </c>
      <c r="K57">
        <f t="shared" si="4"/>
        <v>360</v>
      </c>
      <c r="L57">
        <f t="shared" si="5"/>
        <v>8910</v>
      </c>
      <c r="M57" s="3">
        <v>45</v>
      </c>
      <c r="N57" s="3">
        <v>9</v>
      </c>
      <c r="O57">
        <f t="shared" si="6"/>
        <v>90</v>
      </c>
      <c r="P57">
        <f t="shared" si="7"/>
        <v>2290</v>
      </c>
      <c r="Q57" s="3">
        <v>45</v>
      </c>
      <c r="R57" s="3">
        <v>9</v>
      </c>
      <c r="S57">
        <f t="shared" si="8"/>
        <v>0.36</v>
      </c>
      <c r="T57">
        <f t="shared" si="9"/>
        <v>17</v>
      </c>
    </row>
    <row r="58" spans="1:20" ht="12.75" x14ac:dyDescent="0.2">
      <c r="A58" s="3">
        <v>46</v>
      </c>
      <c r="B58" s="3">
        <v>9</v>
      </c>
      <c r="C58">
        <f t="shared" si="0"/>
        <v>112.5</v>
      </c>
      <c r="D58">
        <f t="shared" si="1"/>
        <v>2430</v>
      </c>
      <c r="E58" s="3">
        <v>46</v>
      </c>
      <c r="F58" s="3">
        <v>9</v>
      </c>
      <c r="G58">
        <f t="shared" si="2"/>
        <v>207</v>
      </c>
      <c r="H58">
        <f t="shared" si="3"/>
        <v>5249</v>
      </c>
      <c r="I58" s="3">
        <v>46</v>
      </c>
      <c r="J58" s="3">
        <v>9</v>
      </c>
      <c r="K58">
        <f t="shared" si="4"/>
        <v>360</v>
      </c>
      <c r="L58">
        <f t="shared" si="5"/>
        <v>9270</v>
      </c>
      <c r="M58" s="3">
        <v>46</v>
      </c>
      <c r="N58" s="3">
        <v>9</v>
      </c>
      <c r="O58">
        <f t="shared" si="6"/>
        <v>90</v>
      </c>
      <c r="P58">
        <f t="shared" si="7"/>
        <v>2380</v>
      </c>
      <c r="Q58" s="3">
        <v>46</v>
      </c>
      <c r="R58" s="3">
        <v>9</v>
      </c>
      <c r="S58">
        <f t="shared" si="8"/>
        <v>0.36</v>
      </c>
      <c r="T58">
        <f t="shared" si="9"/>
        <v>18</v>
      </c>
    </row>
    <row r="59" spans="1:20" ht="12.75" x14ac:dyDescent="0.2">
      <c r="A59" s="3">
        <v>47</v>
      </c>
      <c r="B59" s="3">
        <v>9</v>
      </c>
      <c r="C59">
        <f t="shared" si="0"/>
        <v>112.5</v>
      </c>
      <c r="D59">
        <f t="shared" si="1"/>
        <v>2543</v>
      </c>
      <c r="E59" s="3">
        <v>47</v>
      </c>
      <c r="F59" s="3">
        <v>9</v>
      </c>
      <c r="G59">
        <f t="shared" si="2"/>
        <v>207</v>
      </c>
      <c r="H59">
        <f t="shared" si="3"/>
        <v>5456</v>
      </c>
      <c r="I59" s="3">
        <v>47</v>
      </c>
      <c r="J59" s="3">
        <v>9</v>
      </c>
      <c r="K59">
        <f t="shared" si="4"/>
        <v>360</v>
      </c>
      <c r="L59">
        <f t="shared" si="5"/>
        <v>9630</v>
      </c>
      <c r="M59" s="3">
        <v>47</v>
      </c>
      <c r="N59" s="3">
        <v>9</v>
      </c>
      <c r="O59">
        <f t="shared" si="6"/>
        <v>90</v>
      </c>
      <c r="P59">
        <f t="shared" si="7"/>
        <v>2470</v>
      </c>
      <c r="Q59" s="3">
        <v>47</v>
      </c>
      <c r="R59" s="3">
        <v>9</v>
      </c>
      <c r="S59">
        <f t="shared" si="8"/>
        <v>0.36</v>
      </c>
      <c r="T59">
        <f t="shared" si="9"/>
        <v>18</v>
      </c>
    </row>
    <row r="60" spans="1:20" ht="12.75" x14ac:dyDescent="0.2">
      <c r="A60" s="3">
        <v>48</v>
      </c>
      <c r="B60" s="3">
        <v>9</v>
      </c>
      <c r="C60">
        <f t="shared" si="0"/>
        <v>112.5</v>
      </c>
      <c r="D60">
        <f t="shared" si="1"/>
        <v>2656</v>
      </c>
      <c r="E60" s="3">
        <v>48</v>
      </c>
      <c r="F60" s="3">
        <v>9</v>
      </c>
      <c r="G60">
        <f t="shared" si="2"/>
        <v>207</v>
      </c>
      <c r="H60">
        <f t="shared" si="3"/>
        <v>5663</v>
      </c>
      <c r="I60" s="3">
        <v>48</v>
      </c>
      <c r="J60" s="3">
        <v>9</v>
      </c>
      <c r="K60">
        <f t="shared" si="4"/>
        <v>360</v>
      </c>
      <c r="L60">
        <f t="shared" si="5"/>
        <v>9990</v>
      </c>
      <c r="M60" s="3">
        <v>48</v>
      </c>
      <c r="N60" s="3">
        <v>9</v>
      </c>
      <c r="O60">
        <f t="shared" si="6"/>
        <v>90</v>
      </c>
      <c r="P60">
        <f t="shared" si="7"/>
        <v>2560</v>
      </c>
      <c r="Q60" s="3">
        <v>48</v>
      </c>
      <c r="R60" s="3">
        <v>9</v>
      </c>
      <c r="S60">
        <f t="shared" si="8"/>
        <v>0.36</v>
      </c>
      <c r="T60">
        <f t="shared" si="9"/>
        <v>18</v>
      </c>
    </row>
    <row r="61" spans="1:20" ht="12.75" x14ac:dyDescent="0.2">
      <c r="A61" s="3">
        <v>49</v>
      </c>
      <c r="B61" s="3">
        <v>9</v>
      </c>
      <c r="C61">
        <f t="shared" si="0"/>
        <v>112.5</v>
      </c>
      <c r="D61">
        <f t="shared" si="1"/>
        <v>2769</v>
      </c>
      <c r="E61" s="3">
        <v>49</v>
      </c>
      <c r="F61" s="3">
        <v>9</v>
      </c>
      <c r="G61">
        <f t="shared" si="2"/>
        <v>207</v>
      </c>
      <c r="H61">
        <f t="shared" si="3"/>
        <v>5870</v>
      </c>
      <c r="I61" s="3">
        <v>49</v>
      </c>
      <c r="J61" s="3">
        <v>9</v>
      </c>
      <c r="K61">
        <f t="shared" si="4"/>
        <v>360</v>
      </c>
      <c r="L61">
        <f t="shared" si="5"/>
        <v>10350</v>
      </c>
      <c r="M61" s="3">
        <v>49</v>
      </c>
      <c r="N61" s="3">
        <v>9</v>
      </c>
      <c r="O61">
        <f t="shared" si="6"/>
        <v>90</v>
      </c>
      <c r="P61">
        <f t="shared" si="7"/>
        <v>2650</v>
      </c>
      <c r="Q61" s="3">
        <v>49</v>
      </c>
      <c r="R61" s="3">
        <v>9</v>
      </c>
      <c r="S61">
        <f t="shared" si="8"/>
        <v>0.36</v>
      </c>
      <c r="T61">
        <f t="shared" si="9"/>
        <v>19</v>
      </c>
    </row>
    <row r="62" spans="1:20" ht="12.75" x14ac:dyDescent="0.2">
      <c r="A62" s="3">
        <v>50</v>
      </c>
      <c r="B62" s="3">
        <v>9</v>
      </c>
      <c r="C62">
        <f t="shared" si="0"/>
        <v>112.5</v>
      </c>
      <c r="D62">
        <f t="shared" si="1"/>
        <v>2882</v>
      </c>
      <c r="E62" s="3">
        <v>50</v>
      </c>
      <c r="F62" s="3">
        <v>9</v>
      </c>
      <c r="G62">
        <f t="shared" si="2"/>
        <v>207</v>
      </c>
      <c r="H62">
        <f t="shared" si="3"/>
        <v>6077</v>
      </c>
      <c r="I62" s="3">
        <v>50</v>
      </c>
      <c r="J62" s="3">
        <v>9</v>
      </c>
      <c r="K62">
        <f t="shared" si="4"/>
        <v>360</v>
      </c>
      <c r="L62">
        <f t="shared" si="5"/>
        <v>10710</v>
      </c>
      <c r="M62" s="3">
        <v>50</v>
      </c>
      <c r="N62" s="3">
        <v>9</v>
      </c>
      <c r="O62">
        <f t="shared" si="6"/>
        <v>90</v>
      </c>
      <c r="P62">
        <f t="shared" si="7"/>
        <v>2740</v>
      </c>
      <c r="Q62" s="3">
        <v>50</v>
      </c>
      <c r="R62" s="3">
        <v>9</v>
      </c>
      <c r="S62">
        <f t="shared" si="8"/>
        <v>0.36</v>
      </c>
      <c r="T62">
        <f t="shared" si="9"/>
        <v>19</v>
      </c>
    </row>
  </sheetData>
  <mergeCells count="6">
    <mergeCell ref="Q11:S11"/>
    <mergeCell ref="A1:E3"/>
    <mergeCell ref="A11:D11"/>
    <mergeCell ref="E11:H11"/>
    <mergeCell ref="I11:L11"/>
    <mergeCell ref="M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Skalowanie poziomowe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Rzegocki</cp:lastModifiedBy>
  <dcterms:modified xsi:type="dcterms:W3CDTF">2026-07-03T22:28:45Z</dcterms:modified>
</cp:coreProperties>
</file>