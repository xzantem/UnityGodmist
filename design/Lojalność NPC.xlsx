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czku\Documents\Godmist\design\"/>
    </mc:Choice>
  </mc:AlternateContent>
  <xr:revisionPtr revIDLastSave="0" documentId="13_ncr:1_{C91A94FC-F5E3-4714-8641-1A9AE1FAEEC3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F2" i="1"/>
  <c r="F14" i="1" l="1"/>
  <c r="F17" i="1"/>
  <c r="F16" i="1"/>
  <c r="F3" i="1"/>
  <c r="F15" i="1"/>
  <c r="F12" i="1"/>
  <c r="F8" i="1"/>
  <c r="F13" i="1"/>
  <c r="F11" i="1"/>
  <c r="F10" i="1"/>
  <c r="F6" i="1"/>
  <c r="F9" i="1"/>
  <c r="F7" i="1"/>
  <c r="F5" i="1"/>
  <c r="F4" i="1"/>
</calcChain>
</file>

<file path=xl/sharedStrings.xml><?xml version="1.0" encoding="utf-8"?>
<sst xmlns="http://schemas.openxmlformats.org/spreadsheetml/2006/main" count="60" uniqueCount="41">
  <si>
    <t>KOWAL</t>
  </si>
  <si>
    <t>ALCHEMIK/CHEMIK</t>
  </si>
  <si>
    <t>ZAKLINACZ</t>
  </si>
  <si>
    <t>Wydane Złoto na Następny</t>
  </si>
  <si>
    <t>Wydane Złoto do tej pory</t>
  </si>
  <si>
    <t>Pozwala handlować pospolitymi materiałami</t>
  </si>
  <si>
    <t>Zmniejsza koszty usług o 1%</t>
  </si>
  <si>
    <t>Tworzony ekwipunek ma 5% lepsze statystyki pierwszorzędne</t>
  </si>
  <si>
    <t>Mikstury/Bomby stworzone u tego alchemika zmniejszają siłę efektu zatrucia alkoholowego o 25% w przypadku gdy takie wystąpi</t>
  </si>
  <si>
    <t>Zwiększa efekty wszystkich tworzonych i badanych galdurytów o 5%</t>
  </si>
  <si>
    <t>Zmniejsza koszty usług o 3%</t>
  </si>
  <si>
    <t>Pozwala handlować niepospolitymi materiałami</t>
  </si>
  <si>
    <t>Stworzony ekwipunek ma od razu modyfikator 25% ulepszenia</t>
  </si>
  <si>
    <t>Napełnianie mikstur/bomb daje szansę na napełnienie dwóch ładunków (można osiągnąć poza limit)</t>
  </si>
  <si>
    <t>Dodawanie i usuwanie galdurytów ma 10% większą szansę na powodzenie</t>
  </si>
  <si>
    <t>Zmniejsza koszty usług o 5%</t>
  </si>
  <si>
    <t>Pozwala handlować rzadkimi materiałami</t>
  </si>
  <si>
    <t>Odkrywane galduryty mają dodatkowy efekt</t>
  </si>
  <si>
    <t>Zmniejsza koszty usług o 7%</t>
  </si>
  <si>
    <t>Pozwala handlować starożytnymi materiałami</t>
  </si>
  <si>
    <t>Ulepszanie wyposażenia już ulepszonego jest tańsze (proporcjonalne do modyfikatora)</t>
  </si>
  <si>
    <t>Zwiększa efektywność wszystkich mikstur/bomb stworzonych u tego alchemika o 5%</t>
  </si>
  <si>
    <t>Zwiększa efekty wszystkich galdurytów o 20%</t>
  </si>
  <si>
    <t>Zmniejsza koszty usług o 9%</t>
  </si>
  <si>
    <t>Pozwala handlować legendarnymi materiałami</t>
  </si>
  <si>
    <t>Stworzone wyposażenie ma co najmniej unikalność 4</t>
  </si>
  <si>
    <t>Napełnianie mikstur/bomb jest darmowe i ma 33% szans na niezużycie alkoholu/prochu</t>
  </si>
  <si>
    <t>Tworzone galduryty mają co najmniej unikalność 4</t>
  </si>
  <si>
    <t>Przekuwanie nie może zmniejszyć unikalności</t>
  </si>
  <si>
    <t>Daje możliwość na stworzenie mikstury/bomby z jednym dodatkowym katalizatorem</t>
  </si>
  <si>
    <t>Pierwszy dodany galduryt do wyposażenia nie konsumuje miejsca na galduryt</t>
  </si>
  <si>
    <t>Cel NPC</t>
  </si>
  <si>
    <t>Tworzenie wyposażenia, ulepszanie wyposażenia, handel wyposażenia, przekuwanie wyposażenia, tworzenie składników rzemieślniczych, handel składnikami rzemieślniczymi</t>
  </si>
  <si>
    <t>Tworzenie mikstur, handel miksturami, handel materiałami alchemicznymi, napełnianie mikstur</t>
  </si>
  <si>
    <t>Tworzenie galdurytów, dodawanie galdurytów, usuwanie galdurytów, niszczenie galdurytów, Handel galdurytami, handel składnikami magicznymi, tworzenie składników magicznych</t>
  </si>
  <si>
    <t>1 - 1</t>
  </si>
  <si>
    <t>5 - 11</t>
  </si>
  <si>
    <t>8 - 21</t>
  </si>
  <si>
    <t>10 - 31</t>
  </si>
  <si>
    <t>13 - 41</t>
  </si>
  <si>
    <t>tko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</si>
</sst>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CFFCF"/>
        <bgColor rgb="FFFCFFCF"/>
      </patternFill>
    </fill>
    <fill>
      <patternFill patternType="solid">
        <fgColor rgb="FFFFFFFF"/>
        <bgColor rgb="FFFFFFFF"/>
      </patternFill>
    </fill>
    <fill>
      <patternFill patternType="solid">
        <fgColor rgb="FFFDFFA8"/>
        <bgColor rgb="FFFDF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tabSelected="1" workbookViewId="0">
      <selection activeCell="G21" sqref="G21"/>
    </sheetView>
  </sheetViews>
  <sheetFormatPr defaultColWidth="12.5703125" defaultRowHeight="15.75" customHeight="1" x14ac:dyDescent="0.2"/>
  <cols>
    <col min="2" max="2" width="65.140625" customWidth="1"/>
    <col min="3" max="3" width="77.140625" customWidth="1"/>
    <col min="4" max="4" width="72.42578125" customWidth="1"/>
    <col min="5" max="5" width="23.85546875" bestFit="1" customWidth="1"/>
    <col min="6" max="6" width="19.42578125" customWidth="1"/>
    <col min="7" max="7" width="68.28515625" customWidth="1"/>
  </cols>
  <sheetData>
    <row r="1" spans="1:6" ht="15.75" customHeight="1" x14ac:dyDescent="0.2">
      <c r="A1" s="1" t="s">
        <v>40</v>
      </c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</row>
    <row r="2" spans="1:6" ht="15.75" customHeight="1" x14ac:dyDescent="0.2">
      <c r="A2" s="1">
        <v>1</v>
      </c>
      <c r="B2" s="4" t="s">
        <v>5</v>
      </c>
      <c r="C2" s="4" t="s">
        <v>5</v>
      </c>
      <c r="D2" s="4" t="s">
        <v>5</v>
      </c>
      <c r="E2">
        <f>ROUNDUP(POWER(4, A2/3+4),0)</f>
        <v>407</v>
      </c>
      <c r="F2" s="5">
        <f>0</f>
        <v>0</v>
      </c>
    </row>
    <row r="3" spans="1:6" ht="15.75" customHeight="1" x14ac:dyDescent="0.2">
      <c r="A3" s="1">
        <v>2</v>
      </c>
      <c r="B3" s="4" t="s">
        <v>6</v>
      </c>
      <c r="C3" s="4" t="s">
        <v>6</v>
      </c>
      <c r="D3" s="4" t="s">
        <v>6</v>
      </c>
      <c r="E3">
        <f t="shared" ref="E3:E16" si="0">ROUNDUP(POWER(4, A3/3+4),0)</f>
        <v>646</v>
      </c>
      <c r="F3" s="5">
        <f>SUM(E2)</f>
        <v>407</v>
      </c>
    </row>
    <row r="4" spans="1:6" ht="15.75" customHeight="1" x14ac:dyDescent="0.2">
      <c r="A4" s="1">
        <v>3</v>
      </c>
      <c r="B4" s="6" t="s">
        <v>7</v>
      </c>
      <c r="C4" s="4" t="s">
        <v>8</v>
      </c>
      <c r="D4" s="4" t="s">
        <v>9</v>
      </c>
      <c r="E4">
        <f t="shared" si="0"/>
        <v>1024</v>
      </c>
      <c r="F4" s="5">
        <f t="shared" ref="F4:F17" si="1">SUM($E$2:E3)</f>
        <v>1053</v>
      </c>
    </row>
    <row r="5" spans="1:6" ht="15.75" customHeight="1" x14ac:dyDescent="0.2">
      <c r="A5" s="1">
        <v>4</v>
      </c>
      <c r="B5" s="4" t="s">
        <v>10</v>
      </c>
      <c r="C5" s="4" t="s">
        <v>10</v>
      </c>
      <c r="D5" s="4" t="s">
        <v>10</v>
      </c>
      <c r="E5">
        <f t="shared" si="0"/>
        <v>1626</v>
      </c>
      <c r="F5" s="5">
        <f t="shared" si="1"/>
        <v>2077</v>
      </c>
    </row>
    <row r="6" spans="1:6" ht="15.75" customHeight="1" x14ac:dyDescent="0.2">
      <c r="A6" s="1">
        <v>5</v>
      </c>
      <c r="B6" s="4" t="s">
        <v>11</v>
      </c>
      <c r="C6" s="4" t="s">
        <v>11</v>
      </c>
      <c r="D6" s="4" t="s">
        <v>11</v>
      </c>
      <c r="E6">
        <f t="shared" si="0"/>
        <v>2581</v>
      </c>
      <c r="F6" s="5">
        <f t="shared" si="1"/>
        <v>3703</v>
      </c>
    </row>
    <row r="7" spans="1:6" ht="15.75" customHeight="1" x14ac:dyDescent="0.2">
      <c r="A7" s="1">
        <v>6</v>
      </c>
      <c r="B7" s="4" t="s">
        <v>12</v>
      </c>
      <c r="C7" s="4" t="s">
        <v>13</v>
      </c>
      <c r="D7" s="4" t="s">
        <v>14</v>
      </c>
      <c r="E7">
        <f t="shared" si="0"/>
        <v>4096</v>
      </c>
      <c r="F7" s="5">
        <f t="shared" si="1"/>
        <v>6284</v>
      </c>
    </row>
    <row r="8" spans="1:6" ht="15.75" customHeight="1" x14ac:dyDescent="0.2">
      <c r="A8" s="1">
        <v>7</v>
      </c>
      <c r="B8" s="4" t="s">
        <v>15</v>
      </c>
      <c r="C8" s="4" t="s">
        <v>15</v>
      </c>
      <c r="D8" s="4" t="s">
        <v>15</v>
      </c>
      <c r="E8">
        <f t="shared" si="0"/>
        <v>6502</v>
      </c>
      <c r="F8" s="5">
        <f t="shared" si="1"/>
        <v>10380</v>
      </c>
    </row>
    <row r="9" spans="1:6" ht="15.75" customHeight="1" x14ac:dyDescent="0.2">
      <c r="A9" s="1">
        <v>8</v>
      </c>
      <c r="B9" s="4" t="s">
        <v>16</v>
      </c>
      <c r="C9" s="4" t="s">
        <v>16</v>
      </c>
      <c r="D9" s="4" t="s">
        <v>17</v>
      </c>
      <c r="E9">
        <f t="shared" si="0"/>
        <v>10322</v>
      </c>
      <c r="F9" s="5">
        <f t="shared" si="1"/>
        <v>16882</v>
      </c>
    </row>
    <row r="10" spans="1:6" ht="15.75" customHeight="1" x14ac:dyDescent="0.2">
      <c r="A10" s="1">
        <v>9</v>
      </c>
      <c r="B10" s="4" t="s">
        <v>18</v>
      </c>
      <c r="C10" s="4" t="s">
        <v>18</v>
      </c>
      <c r="D10" s="4" t="s">
        <v>18</v>
      </c>
      <c r="E10">
        <f t="shared" si="0"/>
        <v>16384</v>
      </c>
      <c r="F10" s="5">
        <f t="shared" si="1"/>
        <v>27204</v>
      </c>
    </row>
    <row r="11" spans="1:6" ht="15.75" customHeight="1" x14ac:dyDescent="0.2">
      <c r="A11" s="1">
        <v>10</v>
      </c>
      <c r="B11" s="4" t="s">
        <v>19</v>
      </c>
      <c r="C11" s="4" t="s">
        <v>19</v>
      </c>
      <c r="D11" s="4" t="s">
        <v>19</v>
      </c>
      <c r="E11">
        <f t="shared" si="0"/>
        <v>26008</v>
      </c>
      <c r="F11" s="5">
        <f t="shared" si="1"/>
        <v>43588</v>
      </c>
    </row>
    <row r="12" spans="1:6" ht="15.75" customHeight="1" x14ac:dyDescent="0.2">
      <c r="A12" s="1">
        <v>11</v>
      </c>
      <c r="B12" s="6" t="s">
        <v>20</v>
      </c>
      <c r="C12" s="4" t="s">
        <v>21</v>
      </c>
      <c r="D12" s="6" t="s">
        <v>22</v>
      </c>
      <c r="E12">
        <f t="shared" si="0"/>
        <v>41286</v>
      </c>
      <c r="F12" s="5">
        <f t="shared" si="1"/>
        <v>69596</v>
      </c>
    </row>
    <row r="13" spans="1:6" ht="15.75" customHeight="1" x14ac:dyDescent="0.2">
      <c r="A13" s="1">
        <v>12</v>
      </c>
      <c r="B13" s="4" t="s">
        <v>23</v>
      </c>
      <c r="C13" s="4" t="s">
        <v>23</v>
      </c>
      <c r="D13" s="4" t="s">
        <v>23</v>
      </c>
      <c r="E13">
        <f t="shared" si="0"/>
        <v>65536</v>
      </c>
      <c r="F13" s="5">
        <f t="shared" si="1"/>
        <v>110882</v>
      </c>
    </row>
    <row r="14" spans="1:6" ht="15.75" customHeight="1" x14ac:dyDescent="0.2">
      <c r="A14" s="1">
        <v>13</v>
      </c>
      <c r="B14" s="4" t="s">
        <v>24</v>
      </c>
      <c r="C14" s="4" t="s">
        <v>24</v>
      </c>
      <c r="D14" s="4" t="s">
        <v>24</v>
      </c>
      <c r="E14">
        <f t="shared" si="0"/>
        <v>104032</v>
      </c>
      <c r="F14" s="5">
        <f t="shared" si="1"/>
        <v>176418</v>
      </c>
    </row>
    <row r="15" spans="1:6" ht="15.75" customHeight="1" x14ac:dyDescent="0.2">
      <c r="A15" s="1">
        <v>14</v>
      </c>
      <c r="B15" s="6" t="s">
        <v>25</v>
      </c>
      <c r="C15" s="6" t="s">
        <v>26</v>
      </c>
      <c r="D15" s="7" t="s">
        <v>27</v>
      </c>
      <c r="E15">
        <f t="shared" si="0"/>
        <v>165141</v>
      </c>
      <c r="F15" s="5">
        <f t="shared" si="1"/>
        <v>280450</v>
      </c>
    </row>
    <row r="16" spans="1:6" ht="15.75" customHeight="1" x14ac:dyDescent="0.2">
      <c r="A16" s="1">
        <v>15</v>
      </c>
      <c r="B16" s="6" t="s">
        <v>28</v>
      </c>
      <c r="C16" s="6" t="s">
        <v>29</v>
      </c>
      <c r="D16" s="6" t="s">
        <v>30</v>
      </c>
      <c r="E16">
        <f t="shared" si="0"/>
        <v>262144</v>
      </c>
      <c r="F16" s="5">
        <f t="shared" si="1"/>
        <v>445591</v>
      </c>
    </row>
    <row r="17" spans="1:6" ht="15.75" customHeight="1" x14ac:dyDescent="0.2">
      <c r="A17" s="8" t="s">
        <v>31</v>
      </c>
      <c r="B17" s="9" t="s">
        <v>32</v>
      </c>
      <c r="C17" s="9" t="s">
        <v>33</v>
      </c>
      <c r="D17" s="9" t="s">
        <v>34</v>
      </c>
      <c r="F17" s="5">
        <f t="shared" si="1"/>
        <v>707735</v>
      </c>
    </row>
    <row r="18" spans="1:6" ht="15.75" customHeight="1" x14ac:dyDescent="0.2">
      <c r="A18" s="2"/>
      <c r="B18" s="2" t="s">
        <v>35</v>
      </c>
      <c r="D18" s="10"/>
      <c r="F18" s="5"/>
    </row>
    <row r="19" spans="1:6" ht="15.75" customHeight="1" x14ac:dyDescent="0.2">
      <c r="A19" s="2"/>
      <c r="B19" s="2" t="s">
        <v>36</v>
      </c>
      <c r="D19" s="10"/>
      <c r="F19" s="3"/>
    </row>
    <row r="20" spans="1:6" ht="15.75" customHeight="1" x14ac:dyDescent="0.2">
      <c r="A20" s="2"/>
      <c r="B20" s="2" t="s">
        <v>37</v>
      </c>
      <c r="F20" s="5"/>
    </row>
    <row r="21" spans="1:6" ht="15.75" customHeight="1" x14ac:dyDescent="0.2">
      <c r="A21" s="2"/>
      <c r="B21" s="2" t="s">
        <v>38</v>
      </c>
      <c r="F21" s="5"/>
    </row>
    <row r="22" spans="1:6" ht="15.75" customHeight="1" x14ac:dyDescent="0.2">
      <c r="B22" s="2" t="s">
        <v>39</v>
      </c>
      <c r="F22" s="5"/>
    </row>
    <row r="23" spans="1:6" ht="15.75" customHeight="1" x14ac:dyDescent="0.2">
      <c r="F23" s="3"/>
    </row>
    <row r="24" spans="1:6" ht="15.75" customHeight="1" x14ac:dyDescent="0.2">
      <c r="F24" s="3"/>
    </row>
    <row r="25" spans="1:6" ht="15.75" customHeight="1" x14ac:dyDescent="0.2">
      <c r="C25" s="10"/>
    </row>
    <row r="32" spans="1:6" ht="15.75" customHeight="1" x14ac:dyDescent="0.2">
      <c r="C32" s="10"/>
    </row>
    <row r="33" spans="3:3" ht="15.75" customHeight="1" x14ac:dyDescent="0.2">
      <c r="C33" s="10"/>
    </row>
    <row r="34" spans="3:3" ht="15.75" customHeight="1" x14ac:dyDescent="0.2">
      <c r="C34" s="11"/>
    </row>
    <row r="36" spans="3:3" ht="15.75" customHeight="1" x14ac:dyDescent="0.2">
      <c r="C3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Rzegocki</cp:lastModifiedBy>
  <dcterms:modified xsi:type="dcterms:W3CDTF">2026-09-04T00:57:22Z</dcterms:modified>
</cp:coreProperties>
</file>